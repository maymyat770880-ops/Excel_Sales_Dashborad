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E:\Tr. Su Nandar Moe excel exercises\"/>
    </mc:Choice>
  </mc:AlternateContent>
  <xr:revisionPtr revIDLastSave="0" documentId="13_ncr:1_{20F6A002-2737-41A1-83D8-8DA888D850B7}" xr6:coauthVersionLast="47" xr6:coauthVersionMax="47" xr10:uidLastSave="{00000000-0000-0000-0000-000000000000}"/>
  <bookViews>
    <workbookView xWindow="-110" yWindow="-110" windowWidth="19420" windowHeight="10300" tabRatio="605" firstSheet="2" activeTab="4" xr2:uid="{CB35F75B-24EF-4242-9B83-3151D78FB1D1}"/>
  </bookViews>
  <sheets>
    <sheet name="Sheet2" sheetId="3" r:id="rId1"/>
    <sheet name="Sheet3" sheetId="4" r:id="rId2"/>
    <sheet name="Sheet5" sheetId="6" r:id="rId3"/>
    <sheet name="Pivot Table" sheetId="2" r:id="rId4"/>
    <sheet name="Dashboard Budget" sheetId="5" r:id="rId5"/>
    <sheet name="Sheet1" sheetId="7" r:id="rId6"/>
    <sheet name="Sales Dataset" sheetId="1" r:id="rId7"/>
  </sheets>
  <definedNames>
    <definedName name="_xlnm._FilterDatabase" localSheetId="6" hidden="1">'Sales Dataset'!$A$1:$K$31</definedName>
    <definedName name="_xlchart.v2.0" hidden="1">'Pivot Table'!$F$15:$F$17</definedName>
    <definedName name="_xlchart.v2.1" hidden="1">'Pivot Table'!$G$14</definedName>
    <definedName name="_xlchart.v2.10" hidden="1">'Pivot Table'!$F$15:$F$17</definedName>
    <definedName name="_xlchart.v2.11" hidden="1">'Pivot Table'!$G$14</definedName>
    <definedName name="_xlchart.v2.12" hidden="1">'Pivot Table'!$G$15:$G$17</definedName>
    <definedName name="_xlchart.v2.13" hidden="1">'Pivot Table'!$F$15:$F$17</definedName>
    <definedName name="_xlchart.v2.14" hidden="1">'Pivot Table'!$G$14</definedName>
    <definedName name="_xlchart.v2.15" hidden="1">'Pivot Table'!$G$15:$G$17</definedName>
    <definedName name="_xlchart.v2.2" hidden="1">'Pivot Table'!$G$15:$G$17</definedName>
    <definedName name="_xlchart.v2.7" hidden="1">'Pivot Table'!$F$15:$F$17</definedName>
    <definedName name="_xlchart.v2.8" hidden="1">'Pivot Table'!$G$14</definedName>
    <definedName name="_xlchart.v2.9" hidden="1">'Pivot Table'!$G$15:$G$17</definedName>
    <definedName name="_xlchart.v5.3" hidden="1">'Pivot Table'!$O$21</definedName>
    <definedName name="_xlchart.v5.4" hidden="1">'Pivot Table'!$O$22:$O$33</definedName>
    <definedName name="_xlchart.v5.5" hidden="1">'Pivot Table'!$P$21</definedName>
    <definedName name="_xlchart.v5.6" hidden="1">'Pivot Table'!$P$22:$P$33</definedName>
    <definedName name="_xlcn.WorksheetConnection_DataVisualizationExerciseRI_second.xlsxTable11" hidden="1">Table1[]</definedName>
    <definedName name="Slicer_Category">#N/A</definedName>
    <definedName name="Slicer_Month">#N/A</definedName>
    <definedName name="Slicer_ProductName">#N/A</definedName>
    <definedName name="Slicer_Yea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Visualization-Exercise-RI_second.xlsx!Table1"/>
        </x15:modelTables>
      </x15:dataModel>
    </ext>
  </extLst>
</workbook>
</file>

<file path=xl/calcChain.xml><?xml version="1.0" encoding="utf-8"?>
<calcChain xmlns="http://schemas.openxmlformats.org/spreadsheetml/2006/main">
  <c r="O23" i="2" l="1"/>
  <c r="O24" i="2"/>
  <c r="O25" i="2"/>
  <c r="O26" i="2"/>
  <c r="O27" i="2"/>
  <c r="O28" i="2"/>
  <c r="O29" i="2"/>
  <c r="O30" i="2"/>
  <c r="O31" i="2"/>
  <c r="O32" i="2"/>
  <c r="O33" i="2"/>
  <c r="O22" i="2"/>
  <c r="F16" i="2"/>
  <c r="F17" i="2"/>
  <c r="F15" i="2"/>
  <c r="P30" i="2"/>
  <c r="P29" i="2"/>
  <c r="P24" i="2"/>
  <c r="P28" i="2"/>
  <c r="P27" i="2"/>
  <c r="P25" i="2"/>
  <c r="P32" i="2"/>
  <c r="P23" i="2"/>
  <c r="P22" i="2"/>
  <c r="P26" i="2"/>
  <c r="P33" i="2"/>
  <c r="P31" i="2"/>
  <c r="G15" i="2"/>
  <c r="G16" i="2"/>
  <c r="G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5B0A6D-1662-4302-BF48-BC7E2FF16ED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1843B4C-0D9A-45E5-852B-411BC4F92E1D}" name="WorksheetConnection_DataVisualization-Exercise-RI_second.xlsx!Table1" type="102" refreshedVersion="7" minRefreshableVersion="5">
    <extLst>
      <ext xmlns:x15="http://schemas.microsoft.com/office/spreadsheetml/2010/11/main" uri="{DE250136-89BD-433C-8126-D09CA5730AF9}">
        <x15:connection id="Table1" autoDelete="1">
          <x15:rangePr sourceName="_xlcn.WorksheetConnection_DataVisualizationExerciseRI_second.xlsxTable11"/>
        </x15:connection>
      </ext>
    </extLst>
  </connection>
</connections>
</file>

<file path=xl/sharedStrings.xml><?xml version="1.0" encoding="utf-8"?>
<sst xmlns="http://schemas.openxmlformats.org/spreadsheetml/2006/main" count="639" uniqueCount="110">
  <si>
    <t>SalesID</t>
  </si>
  <si>
    <t>ProductName</t>
  </si>
  <si>
    <t>Category</t>
  </si>
  <si>
    <t>CustomerName</t>
  </si>
  <si>
    <t>Month</t>
  </si>
  <si>
    <t>Year</t>
  </si>
  <si>
    <t>Quantity</t>
  </si>
  <si>
    <t>Price</t>
  </si>
  <si>
    <t>SalesAmount</t>
  </si>
  <si>
    <t>Profit</t>
  </si>
  <si>
    <t>State</t>
  </si>
  <si>
    <t>Office Chair</t>
  </si>
  <si>
    <t>Furniture</t>
  </si>
  <si>
    <t>Acme Corp</t>
  </si>
  <si>
    <t>Jan</t>
  </si>
  <si>
    <t>California</t>
  </si>
  <si>
    <t>Laptop</t>
  </si>
  <si>
    <t>Technology</t>
  </si>
  <si>
    <t>John Smith</t>
  </si>
  <si>
    <t>Feb</t>
  </si>
  <si>
    <t>Texas</t>
  </si>
  <si>
    <t>Printer Paper</t>
  </si>
  <si>
    <t>Office Supplies</t>
  </si>
  <si>
    <t>Beta LLC</t>
  </si>
  <si>
    <t>Mar</t>
  </si>
  <si>
    <t>New York</t>
  </si>
  <si>
    <t>Desk</t>
  </si>
  <si>
    <t>HomeSpace</t>
  </si>
  <si>
    <t>Apr</t>
  </si>
  <si>
    <t>Florida</t>
  </si>
  <si>
    <t>Monitor</t>
  </si>
  <si>
    <t>TechWorld</t>
  </si>
  <si>
    <t>May</t>
  </si>
  <si>
    <t>Washington</t>
  </si>
  <si>
    <t>Stapler</t>
  </si>
  <si>
    <t>OfficeHub</t>
  </si>
  <si>
    <t>Jun</t>
  </si>
  <si>
    <t>Illinois</t>
  </si>
  <si>
    <t>Smartphone</t>
  </si>
  <si>
    <t>Emily Davis</t>
  </si>
  <si>
    <t>Jul</t>
  </si>
  <si>
    <t>Bookshelf</t>
  </si>
  <si>
    <t>Urban Living</t>
  </si>
  <si>
    <t>Aug</t>
  </si>
  <si>
    <t>Arizona</t>
  </si>
  <si>
    <t>Notebooks</t>
  </si>
  <si>
    <t>School Mart</t>
  </si>
  <si>
    <t>Sep</t>
  </si>
  <si>
    <t>Tablet</t>
  </si>
  <si>
    <t>Digital Pro</t>
  </si>
  <si>
    <t>Oct</t>
  </si>
  <si>
    <t>Colorado</t>
  </si>
  <si>
    <t>Coffee Table</t>
  </si>
  <si>
    <t>Modern Homes</t>
  </si>
  <si>
    <t>Nevada</t>
  </si>
  <si>
    <t>Markers</t>
  </si>
  <si>
    <t>Creative Co</t>
  </si>
  <si>
    <t>Oregon</t>
  </si>
  <si>
    <t>Headphones</t>
  </si>
  <si>
    <t>Sound Ltd</t>
  </si>
  <si>
    <t>Filing Cabinet</t>
  </si>
  <si>
    <t>Legal Group</t>
  </si>
  <si>
    <t>Envelopes</t>
  </si>
  <si>
    <t>Mail Services</t>
  </si>
  <si>
    <t>Georgia</t>
  </si>
  <si>
    <t>Router</t>
  </si>
  <si>
    <t>Net Solutions</t>
  </si>
  <si>
    <t>Nov</t>
  </si>
  <si>
    <t>Conference Table</t>
  </si>
  <si>
    <t>Enterprise Inc</t>
  </si>
  <si>
    <t>Sticky Notes</t>
  </si>
  <si>
    <t>Admin Corp</t>
  </si>
  <si>
    <t>Ohio</t>
  </si>
  <si>
    <t>Keyboard</t>
  </si>
  <si>
    <t>Gaming Zone</t>
  </si>
  <si>
    <t>Office Sofa</t>
  </si>
  <si>
    <t>Design Studio</t>
  </si>
  <si>
    <t>Toner Cartridge</t>
  </si>
  <si>
    <t>PrintWorks</t>
  </si>
  <si>
    <t>External Hard Drive</t>
  </si>
  <si>
    <t>DataSafe</t>
  </si>
  <si>
    <t>Reception Desk</t>
  </si>
  <si>
    <t>Clinic Group</t>
  </si>
  <si>
    <t>Paper Clips</t>
  </si>
  <si>
    <t>Supply Depot</t>
  </si>
  <si>
    <t>Webcam</t>
  </si>
  <si>
    <t>Media House</t>
  </si>
  <si>
    <t>Storage Cabinet</t>
  </si>
  <si>
    <t>Warehouse Co</t>
  </si>
  <si>
    <t>Dec</t>
  </si>
  <si>
    <t>Server</t>
  </si>
  <si>
    <t>Cloud Corp</t>
  </si>
  <si>
    <t>Workstation</t>
  </si>
  <si>
    <t>Startup Hub</t>
  </si>
  <si>
    <t>Desk Organizer</t>
  </si>
  <si>
    <t>Office Care</t>
  </si>
  <si>
    <t>Smartwatch</t>
  </si>
  <si>
    <t>Fitness Pro</t>
  </si>
  <si>
    <t>Sum of SalesAmount</t>
  </si>
  <si>
    <t>Profit by Year</t>
  </si>
  <si>
    <t>Sum of Profit</t>
  </si>
  <si>
    <t>Sum of Year</t>
  </si>
  <si>
    <t>Row Labels</t>
  </si>
  <si>
    <t>Grand Total</t>
  </si>
  <si>
    <t>Sales by Category</t>
  </si>
  <si>
    <t>Top5 Customer</t>
  </si>
  <si>
    <t>Sales By State</t>
  </si>
  <si>
    <t>Customer Count by Year</t>
  </si>
  <si>
    <t>Sales by Month</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</si>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</sst>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
    <numFmt numFmtId="165" formatCode="&quot;$&quot;#,##0"/>
    <numFmt numFmtId="166" formatCode="_-&quot;$&quot;* #,##0_-;\-&quot;$&quot;* #,##0_-;_-&quot;$&quot;* &quot;-&quot;??_-;_-@_-"/>
  </numFmts>
  <fonts count="5" x14ac:knownFonts="1">
    <font>
      <sz val="12"/>
      <color theme="1"/>
      <name val="Calibri"/>
      <family val="2"/>
      <scheme val="minor"/>
    </font>
    <font>
      <b/>
      <sz val="12"/>
      <color theme="1"/>
      <name val="Calibri"/>
      <family val="2"/>
      <scheme val="minor"/>
    </font>
    <font>
      <b/>
      <sz val="12"/>
      <color theme="0"/>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right/>
      <top style="thin">
        <color theme="4"/>
      </top>
      <bottom/>
      <diagonal/>
    </border>
    <border>
      <left/>
      <right/>
      <top style="thin">
        <color theme="4"/>
      </top>
      <bottom style="thin">
        <color theme="4"/>
      </bottom>
      <diagonal/>
    </border>
  </borders>
  <cellStyleXfs count="1">
    <xf numFmtId="0" fontId="0" fillId="0" borderId="0"/>
  </cellStyleXfs>
  <cellXfs count="13">
    <xf numFmtId="0" fontId="0" fillId="0" borderId="0" xfId="0"/>
    <xf numFmtId="0" fontId="1" fillId="0" borderId="0" xfId="0" applyFont="1"/>
    <xf numFmtId="0" fontId="0" fillId="0" borderId="1" xfId="0" applyBorder="1"/>
    <xf numFmtId="0" fontId="0" fillId="0" borderId="2" xfId="0" applyBorder="1"/>
    <xf numFmtId="0" fontId="0" fillId="0" borderId="0" xfId="0" pivotButton="1"/>
    <xf numFmtId="0" fontId="0" fillId="0" borderId="0" xfId="0" applyAlignment="1">
      <alignment horizontal="left"/>
    </xf>
    <xf numFmtId="0" fontId="2" fillId="2" borderId="1" xfId="0" applyFont="1" applyFill="1" applyBorder="1"/>
    <xf numFmtId="164" fontId="0" fillId="0" borderId="0" xfId="0" applyNumberFormat="1"/>
    <xf numFmtId="165" fontId="0" fillId="0" borderId="0" xfId="0" applyNumberFormat="1"/>
    <xf numFmtId="166" fontId="0" fillId="0" borderId="0" xfId="0" applyNumberFormat="1"/>
    <xf numFmtId="0" fontId="3" fillId="0" borderId="0" xfId="0" applyFont="1" applyAlignment="1">
      <alignment horizontal="center"/>
    </xf>
    <xf numFmtId="0" fontId="4" fillId="0" borderId="0" xfId="0" applyFont="1" applyAlignment="1">
      <alignment horizontal="center"/>
    </xf>
    <xf numFmtId="0" fontId="0" fillId="0" borderId="0" xfId="0" applyNumberFormat="1"/>
  </cellXfs>
  <cellStyles count="1">
    <cellStyle name="Normal" xfId="0" builtinId="0"/>
  </cellStyles>
  <dxfs count="55">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7" formatCode="_-&quot;$&quot;* #,##0.0_-;\-&quot;$&quot;* #,##0.0_-;_-&quot;$&quot;* &quot;-&quot;??_-;_-@_-"/>
    </dxf>
    <dxf>
      <numFmt numFmtId="166" formatCode="_-&quot;$&quot;* #,##0_-;\-&quot;$&quot;* #,##0_-;_-&quot;$&quot;* &quot;-&quot;??_-;_-@_-"/>
    </dxf>
    <dxf>
      <numFmt numFmtId="167" formatCode="_-&quot;$&quot;* #,##0.0_-;\-&quot;$&quot;* #,##0.0_-;_-&quot;$&quot;* &quot;-&quot;??_-;_-@_-"/>
    </dxf>
    <dxf>
      <numFmt numFmtId="34" formatCode="_-&quot;$&quot;* #,##0.00_-;\-&quot;$&quot;* #,##0.00_-;_-&quot;$&quot;* &quot;-&quot;??_-;_-@_-"/>
    </dxf>
    <dxf>
      <numFmt numFmtId="34" formatCode="_-&quot;$&quot;* #,##0.00_-;\-&quot;$&quot;* #,##0.00_-;_-&quot;$&quot;* &quot;-&quot;??_-;_-@_-"/>
    </dxf>
    <dxf>
      <numFmt numFmtId="167" formatCode="_-&quot;$&quot;* #,##0.0_-;\-&quot;$&quot;* #,##0.0_-;_-&quot;$&quot;* &quot;-&quot;??_-;_-@_-"/>
    </dxf>
    <dxf>
      <numFmt numFmtId="166" formatCode="_-&quot;$&quot;* #,##0_-;\-&quot;$&quot;* #,##0_-;_-&quot;$&quot;* &quot;-&quot;??_-;_-@_-"/>
    </dxf>
    <dxf>
      <numFmt numFmtId="167" formatCode="_-&quot;$&quot;* #,##0.0_-;\-&quot;$&quot;* #,##0.0_-;_-&quot;$&quot;* &quot;-&quot;??_-;_-@_-"/>
    </dxf>
    <dxf>
      <numFmt numFmtId="34" formatCode="_-&quot;$&quot;* #,##0.00_-;\-&quot;$&quot;* #,##0.0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font>
        <b/>
        <i val="0"/>
        <strike val="0"/>
        <condense val="0"/>
        <extend val="0"/>
        <outline val="0"/>
        <shadow val="0"/>
        <u val="none"/>
        <vertAlign val="baseline"/>
        <sz val="12"/>
        <color theme="1"/>
        <name val="Calibri"/>
        <family val="2"/>
        <scheme val="minor"/>
      </font>
    </dxf>
    <dxf>
      <numFmt numFmtId="166" formatCode="_-&quot;$&quot;* #,##0_-;\-&quot;$&quot;* #,##0_-;_-&quot;$&quot;* &quot;-&quot;??_-;_-@_-"/>
    </dxf>
  </dxfs>
  <tableStyles count="0" defaultTableStyle="TableStyleMedium2" defaultPivotStyle="PivotStyleLight16"/>
  <colors>
    <mruColors>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[DataVisualization-Exercise-RI_second.xlsx]Pivot Table!PivotTable3</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a:t>
            </a:r>
            <a:r>
              <a:rPr lang="en-US" baseline="0">
                <a:solidFill>
                  <a:schemeClr val="bg1"/>
                </a:solidFill>
              </a:rPr>
              <a:t> by Year</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2">
              <a:lumMod val="75000"/>
            </a:schemeClr>
          </a:solidFill>
          <a:ln>
            <a:noFill/>
          </a:ln>
          <a:effectLst/>
        </c:spPr>
      </c:pivotFmt>
    </c:pivotFmts>
    <c:plotArea>
      <c:layout/>
      <c:barChart>
        <c:barDir val="col"/>
        <c:grouping val="clustered"/>
        <c:varyColors val="0"/>
        <c:ser>
          <c:idx val="0"/>
          <c:order val="0"/>
          <c:tx>
            <c:strRef>
              <c:f>'Pivot Table'!$D$4</c:f>
              <c:strCache>
                <c:ptCount val="1"/>
                <c:pt idx="0">
                  <c:v>Total</c:v>
                </c:pt>
              </c:strCache>
            </c:strRef>
          </c:tx>
          <c:spPr>
            <a:solidFill>
              <a:srgbClr val="92D050"/>
            </a:solidFill>
            <a:ln>
              <a:noFill/>
            </a:ln>
            <a:effectLst/>
          </c:spPr>
          <c:invertIfNegative val="0"/>
          <c:dPt>
            <c:idx val="1"/>
            <c:invertIfNegative val="0"/>
            <c:bubble3D val="0"/>
            <c:spPr>
              <a:solidFill>
                <a:schemeClr val="accent4"/>
              </a:solidFill>
              <a:ln>
                <a:noFill/>
              </a:ln>
              <a:effectLst/>
            </c:spPr>
            <c:extLst>
              <c:ext xmlns:c16="http://schemas.microsoft.com/office/drawing/2014/chart" uri="{C3380CC4-5D6E-409C-BE32-E72D297353CC}">
                <c16:uniqueId val="{00000002-5FC6-4080-AD38-3627928756B2}"/>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5FC6-4080-AD38-3627928756B2}"/>
              </c:ext>
            </c:extLst>
          </c:dPt>
          <c:cat>
            <c:strRef>
              <c:f>'Pivot Table'!$C$5:$C$8</c:f>
              <c:strCache>
                <c:ptCount val="3"/>
                <c:pt idx="0">
                  <c:v>2024</c:v>
                </c:pt>
                <c:pt idx="1">
                  <c:v>2025</c:v>
                </c:pt>
                <c:pt idx="2">
                  <c:v>2026</c:v>
                </c:pt>
              </c:strCache>
            </c:strRef>
          </c:cat>
          <c:val>
            <c:numRef>
              <c:f>'Pivot Table'!$D$5:$D$8</c:f>
              <c:numCache>
                <c:formatCode>General</c:formatCode>
                <c:ptCount val="3"/>
                <c:pt idx="0">
                  <c:v>1600</c:v>
                </c:pt>
                <c:pt idx="1">
                  <c:v>935</c:v>
                </c:pt>
                <c:pt idx="2">
                  <c:v>1740</c:v>
                </c:pt>
              </c:numCache>
            </c:numRef>
          </c:val>
          <c:extLst>
            <c:ext xmlns:c16="http://schemas.microsoft.com/office/drawing/2014/chart" uri="{C3380CC4-5D6E-409C-BE32-E72D297353CC}">
              <c16:uniqueId val="{00000000-5FC6-4080-AD38-3627928756B2}"/>
            </c:ext>
          </c:extLst>
        </c:ser>
        <c:dLbls>
          <c:showLegendKey val="0"/>
          <c:showVal val="0"/>
          <c:showCatName val="0"/>
          <c:showSerName val="0"/>
          <c:showPercent val="0"/>
          <c:showBubbleSize val="0"/>
        </c:dLbls>
        <c:gapWidth val="219"/>
        <c:overlap val="-27"/>
        <c:axId val="1898156639"/>
        <c:axId val="1898170367"/>
      </c:barChart>
      <c:catAx>
        <c:axId val="1898156639"/>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70367"/>
        <c:crosses val="autoZero"/>
        <c:auto val="1"/>
        <c:lblAlgn val="ctr"/>
        <c:lblOffset val="100"/>
        <c:noMultiLvlLbl val="0"/>
      </c:catAx>
      <c:valAx>
        <c:axId val="189817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8156639"/>
        <c:crosses val="autoZero"/>
        <c:crossBetween val="between"/>
      </c:valAx>
      <c:dTable>
        <c:showHorzBorder val="1"/>
        <c:showVertBorder val="1"/>
        <c:showOutline val="1"/>
        <c:showKeys val="1"/>
        <c:spPr>
          <a:solidFill>
            <a:schemeClr val="accent1"/>
          </a:solid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[DataVisualization-Exercise-RI_second.xlsx]Pivot Table!PivotTable10</c:name>
    <c:fmtId val="18"/>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t>Customer Count by Year</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s>
    <c:plotArea>
      <c:layout>
        <c:manualLayout>
          <c:layoutTarget val="inner"/>
          <c:xMode val="edge"/>
          <c:yMode val="edge"/>
          <c:x val="6.7255577427821525E-2"/>
          <c:y val="0.36260496094114719"/>
          <c:w val="0.51132272528433953"/>
          <c:h val="0.58205907067940621"/>
        </c:manualLayout>
      </c:layout>
      <c:doughnutChart>
        <c:varyColors val="1"/>
        <c:ser>
          <c:idx val="0"/>
          <c:order val="0"/>
          <c:tx>
            <c:strRef>
              <c:f>'Pivot Table'!$U$4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00-4466-A882-2C8813B512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00-4466-A882-2C8813B512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00-4466-A882-2C8813B512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00-4466-A882-2C8813B512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00-4466-A882-2C8813B512E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A00-4466-A882-2C8813B512E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A00-4466-A882-2C8813B512E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A00-4466-A882-2C8813B512E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A00-4466-A882-2C8813B512E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A00-4466-A882-2C8813B512E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A00-4466-A882-2C8813B512E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A00-4466-A882-2C8813B512E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A00-4466-A882-2C8813B512E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A00-4466-A882-2C8813B512E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A00-4466-A882-2C8813B512E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A00-4466-A882-2C8813B512E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A00-4466-A882-2C8813B512E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A00-4466-A882-2C8813B512E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A00-4466-A882-2C8813B512E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DA00-4466-A882-2C8813B512E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DA00-4466-A882-2C8813B512E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DA00-4466-A882-2C8813B512E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DA00-4466-A882-2C8813B512E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DA00-4466-A882-2C8813B512E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DA00-4466-A882-2C8813B512E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DA00-4466-A882-2C8813B512E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DA00-4466-A882-2C8813B512E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DA00-4466-A882-2C8813B512EC}"/>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DA00-4466-A882-2C8813B512EC}"/>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DA00-4466-A882-2C8813B512EC}"/>
              </c:ext>
            </c:extLst>
          </c:dPt>
          <c:cat>
            <c:strRef>
              <c:f>'Pivot Table'!$T$5:$T$35</c:f>
              <c:strCache>
                <c:ptCount val="30"/>
                <c:pt idx="0">
                  <c:v>Acme Corp</c:v>
                </c:pt>
                <c:pt idx="1">
                  <c:v>Admin Corp</c:v>
                </c:pt>
                <c:pt idx="2">
                  <c:v>Beta LLC</c:v>
                </c:pt>
                <c:pt idx="3">
                  <c:v>Clinic Group</c:v>
                </c:pt>
                <c:pt idx="4">
                  <c:v>Cloud Corp</c:v>
                </c:pt>
                <c:pt idx="5">
                  <c:v>Creative Co</c:v>
                </c:pt>
                <c:pt idx="6">
                  <c:v>DataSafe</c:v>
                </c:pt>
                <c:pt idx="7">
                  <c:v>Design Studio</c:v>
                </c:pt>
                <c:pt idx="8">
                  <c:v>Digital Pro</c:v>
                </c:pt>
                <c:pt idx="9">
                  <c:v>Emily Davis</c:v>
                </c:pt>
                <c:pt idx="10">
                  <c:v>Enterprise Inc</c:v>
                </c:pt>
                <c:pt idx="11">
                  <c:v>Fitness Pro</c:v>
                </c:pt>
                <c:pt idx="12">
                  <c:v>Gaming Zone</c:v>
                </c:pt>
                <c:pt idx="13">
                  <c:v>HomeSpace</c:v>
                </c:pt>
                <c:pt idx="14">
                  <c:v>John Smith</c:v>
                </c:pt>
                <c:pt idx="15">
                  <c:v>Legal Group</c:v>
                </c:pt>
                <c:pt idx="16">
                  <c:v>Mail Services</c:v>
                </c:pt>
                <c:pt idx="17">
                  <c:v>Media House</c:v>
                </c:pt>
                <c:pt idx="18">
                  <c:v>Modern Homes</c:v>
                </c:pt>
                <c:pt idx="19">
                  <c:v>Net Solutions</c:v>
                </c:pt>
                <c:pt idx="20">
                  <c:v>Office Care</c:v>
                </c:pt>
                <c:pt idx="21">
                  <c:v>OfficeHub</c:v>
                </c:pt>
                <c:pt idx="22">
                  <c:v>PrintWorks</c:v>
                </c:pt>
                <c:pt idx="23">
                  <c:v>School Mart</c:v>
                </c:pt>
                <c:pt idx="24">
                  <c:v>Sound Ltd</c:v>
                </c:pt>
                <c:pt idx="25">
                  <c:v>Startup Hub</c:v>
                </c:pt>
                <c:pt idx="26">
                  <c:v>Supply Depot</c:v>
                </c:pt>
                <c:pt idx="27">
                  <c:v>TechWorld</c:v>
                </c:pt>
                <c:pt idx="28">
                  <c:v>Urban Living</c:v>
                </c:pt>
                <c:pt idx="29">
                  <c:v>Warehouse Co</c:v>
                </c:pt>
              </c:strCache>
            </c:strRef>
          </c:cat>
          <c:val>
            <c:numRef>
              <c:f>'Pivot Table'!$U$5:$U$35</c:f>
              <c:numCache>
                <c:formatCode>General</c:formatCode>
                <c:ptCount val="30"/>
                <c:pt idx="0">
                  <c:v>2024</c:v>
                </c:pt>
                <c:pt idx="1">
                  <c:v>2025</c:v>
                </c:pt>
                <c:pt idx="2">
                  <c:v>2024</c:v>
                </c:pt>
                <c:pt idx="3">
                  <c:v>2026</c:v>
                </c:pt>
                <c:pt idx="4">
                  <c:v>2026</c:v>
                </c:pt>
                <c:pt idx="5">
                  <c:v>2025</c:v>
                </c:pt>
                <c:pt idx="6">
                  <c:v>2026</c:v>
                </c:pt>
                <c:pt idx="7">
                  <c:v>2025</c:v>
                </c:pt>
                <c:pt idx="8">
                  <c:v>2024</c:v>
                </c:pt>
                <c:pt idx="9">
                  <c:v>2024</c:v>
                </c:pt>
                <c:pt idx="10">
                  <c:v>2025</c:v>
                </c:pt>
                <c:pt idx="11">
                  <c:v>2026</c:v>
                </c:pt>
                <c:pt idx="12">
                  <c:v>2025</c:v>
                </c:pt>
                <c:pt idx="13">
                  <c:v>2024</c:v>
                </c:pt>
                <c:pt idx="14">
                  <c:v>2024</c:v>
                </c:pt>
                <c:pt idx="15">
                  <c:v>2025</c:v>
                </c:pt>
                <c:pt idx="16">
                  <c:v>2025</c:v>
                </c:pt>
                <c:pt idx="17">
                  <c:v>2026</c:v>
                </c:pt>
                <c:pt idx="18">
                  <c:v>2025</c:v>
                </c:pt>
                <c:pt idx="19">
                  <c:v>2025</c:v>
                </c:pt>
                <c:pt idx="20">
                  <c:v>2026</c:v>
                </c:pt>
                <c:pt idx="21">
                  <c:v>2024</c:v>
                </c:pt>
                <c:pt idx="22">
                  <c:v>2026</c:v>
                </c:pt>
                <c:pt idx="23">
                  <c:v>2024</c:v>
                </c:pt>
                <c:pt idx="24">
                  <c:v>2025</c:v>
                </c:pt>
                <c:pt idx="25">
                  <c:v>2026</c:v>
                </c:pt>
                <c:pt idx="26">
                  <c:v>2026</c:v>
                </c:pt>
                <c:pt idx="27">
                  <c:v>2024</c:v>
                </c:pt>
                <c:pt idx="28">
                  <c:v>2024</c:v>
                </c:pt>
                <c:pt idx="29">
                  <c:v>2026</c:v>
                </c:pt>
              </c:numCache>
            </c:numRef>
          </c:val>
          <c:extLst>
            <c:ext xmlns:c16="http://schemas.microsoft.com/office/drawing/2014/chart" uri="{C3380CC4-5D6E-409C-BE32-E72D297353CC}">
              <c16:uniqueId val="{0000003C-DA00-4466-A882-2C8813B512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[DataVisualization-Exercise-RI_second.xlsx]Pivot Table!PivotTable5</c:name>
    <c:fmtId val="2"/>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Top</a:t>
            </a:r>
            <a:r>
              <a:rPr lang="en-US" sz="1600" baseline="0">
                <a:solidFill>
                  <a:schemeClr val="bg1"/>
                </a:solidFill>
              </a:rPr>
              <a:t> 5 Customer</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57150" dist="19050" dir="5400000" algn="ctr" rotWithShape="0">
              <a:srgbClr val="000000">
                <a:alpha val="63000"/>
              </a:srgbClr>
            </a:outerShdw>
          </a:effectLst>
        </c:spPr>
      </c:pivotFmt>
      <c:pivotFmt>
        <c:idx val="5"/>
        <c:spPr>
          <a:solidFill>
            <a:schemeClr val="accent4"/>
          </a:solidFill>
          <a:ln>
            <a:noFill/>
          </a:ln>
          <a:effectLst>
            <a:outerShdw blurRad="57150" dist="19050" dir="5400000" algn="ctr" rotWithShape="0">
              <a:srgbClr val="000000">
                <a:alpha val="63000"/>
              </a:srgbClr>
            </a:outerShdw>
          </a:effectLst>
        </c:spPr>
      </c:pivotFmt>
      <c:pivotFmt>
        <c:idx val="6"/>
        <c:spPr>
          <a:solidFill>
            <a:srgbClr val="00B050"/>
          </a:solidFill>
          <a:ln>
            <a:noFill/>
          </a:ln>
          <a:effectLst>
            <a:outerShdw blurRad="57150" dist="19050" dir="5400000" algn="ctr" rotWithShape="0">
              <a:srgbClr val="000000">
                <a:alpha val="63000"/>
              </a:srgbClr>
            </a:outerShdw>
          </a:effectLst>
        </c:spPr>
      </c:pivotFmt>
      <c:pivotFmt>
        <c:idx val="7"/>
        <c:spPr>
          <a:solidFill>
            <a:srgbClr val="FF0000"/>
          </a:solidFill>
          <a:ln>
            <a:noFill/>
          </a:ln>
          <a:effectLst>
            <a:outerShdw blurRad="57150" dist="19050" dir="5400000" algn="ctr" rotWithShape="0">
              <a:srgbClr val="000000">
                <a:alpha val="63000"/>
              </a:srgbClr>
            </a:outerShdw>
          </a:effectLst>
        </c:spPr>
      </c:pivotFmt>
      <c:pivotFmt>
        <c:idx val="8"/>
        <c:spPr>
          <a:solidFill>
            <a:srgbClr val="7030A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774552527727383"/>
          <c:y val="0.21719827183122303"/>
          <c:w val="0.55698991901546746"/>
          <c:h val="0.69634914994295549"/>
        </c:manualLayout>
      </c:layout>
      <c:barChart>
        <c:barDir val="bar"/>
        <c:grouping val="stacked"/>
        <c:varyColors val="0"/>
        <c:ser>
          <c:idx val="0"/>
          <c:order val="0"/>
          <c:tx>
            <c:strRef>
              <c:f>'Pivot Table'!$O$4</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E59-47ED-8631-0B902D8ECBA3}"/>
              </c:ext>
            </c:extLst>
          </c:dPt>
          <c:dPt>
            <c:idx val="1"/>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E59-47ED-8631-0B902D8ECBA3}"/>
              </c:ext>
            </c:extLst>
          </c:dPt>
          <c:dPt>
            <c:idx val="2"/>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59-47ED-8631-0B902D8ECBA3}"/>
              </c:ext>
            </c:extLst>
          </c:dPt>
          <c:dPt>
            <c:idx val="3"/>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E59-47ED-8631-0B902D8ECBA3}"/>
              </c:ext>
            </c:extLst>
          </c:dPt>
          <c:dPt>
            <c:idx val="4"/>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59-47ED-8631-0B902D8ECBA3}"/>
              </c:ext>
            </c:extLst>
          </c:dPt>
          <c:cat>
            <c:strRef>
              <c:f>'Pivot Table'!$N$5:$N$10</c:f>
              <c:strCache>
                <c:ptCount val="5"/>
                <c:pt idx="0">
                  <c:v>Cloud Corp</c:v>
                </c:pt>
                <c:pt idx="1">
                  <c:v>Digital Pro</c:v>
                </c:pt>
                <c:pt idx="2">
                  <c:v>Emily Davis</c:v>
                </c:pt>
                <c:pt idx="3">
                  <c:v>John Smith</c:v>
                </c:pt>
                <c:pt idx="4">
                  <c:v>Startup Hub</c:v>
                </c:pt>
              </c:strCache>
            </c:strRef>
          </c:cat>
          <c:val>
            <c:numRef>
              <c:f>'Pivot Table'!$O$5:$O$10</c:f>
              <c:numCache>
                <c:formatCode>_-"$"* #,##0_-;\-"$"* #,##0_-;_-"$"* "-"??_-;_-@_-</c:formatCode>
                <c:ptCount val="5"/>
                <c:pt idx="0">
                  <c:v>2500</c:v>
                </c:pt>
                <c:pt idx="1">
                  <c:v>1400</c:v>
                </c:pt>
                <c:pt idx="2">
                  <c:v>2100</c:v>
                </c:pt>
                <c:pt idx="3">
                  <c:v>1800</c:v>
                </c:pt>
                <c:pt idx="4">
                  <c:v>1400</c:v>
                </c:pt>
              </c:numCache>
            </c:numRef>
          </c:val>
          <c:extLst>
            <c:ext xmlns:c16="http://schemas.microsoft.com/office/drawing/2014/chart" uri="{C3380CC4-5D6E-409C-BE32-E72D297353CC}">
              <c16:uniqueId val="{00000002-6E5E-40AF-B2CE-F93B8C4A579A}"/>
            </c:ext>
          </c:extLst>
        </c:ser>
        <c:dLbls>
          <c:showLegendKey val="0"/>
          <c:showVal val="0"/>
          <c:showCatName val="0"/>
          <c:showSerName val="0"/>
          <c:showPercent val="0"/>
          <c:showBubbleSize val="0"/>
        </c:dLbls>
        <c:gapWidth val="150"/>
        <c:overlap val="100"/>
        <c:axId val="1502448064"/>
        <c:axId val="1502445984"/>
      </c:barChart>
      <c:catAx>
        <c:axId val="150244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502445984"/>
        <c:crosses val="autoZero"/>
        <c:auto val="1"/>
        <c:lblAlgn val="ctr"/>
        <c:lblOffset val="100"/>
        <c:noMultiLvlLbl val="0"/>
      </c:catAx>
      <c:valAx>
        <c:axId val="1502445984"/>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244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[DataVisualization-Exercise-RI_second.xlsx]Pivot Table!PivotTable11</c:name>
    <c:fmtId val="2"/>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US" sz="2000">
                <a:solidFill>
                  <a:schemeClr val="bg1"/>
                </a:solidFill>
              </a:rPr>
              <a:t>Sales</a:t>
            </a:r>
            <a:r>
              <a:rPr lang="en-US" sz="2000" baseline="0">
                <a:solidFill>
                  <a:schemeClr val="bg1"/>
                </a:solidFill>
              </a:rPr>
              <a:t> by Month</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pivotFmt>
      <c:pivotFmt>
        <c:idx val="4"/>
        <c:spPr>
          <a:solidFill>
            <a:schemeClr val="accent2"/>
          </a:solidFill>
          <a:ln>
            <a:noFill/>
          </a:ln>
          <a:effectLst/>
        </c:spPr>
      </c:pivotFmt>
      <c:pivotFmt>
        <c:idx val="5"/>
        <c:spPr>
          <a:solidFill>
            <a:srgbClr val="00B050"/>
          </a:solidFill>
          <a:ln>
            <a:noFill/>
          </a:ln>
          <a:effectLst/>
        </c:spPr>
      </c:pivotFmt>
      <c:pivotFmt>
        <c:idx val="6"/>
        <c:spPr>
          <a:solidFill>
            <a:schemeClr val="accent4">
              <a:lumMod val="50000"/>
            </a:schemeClr>
          </a:solidFill>
          <a:ln>
            <a:noFill/>
          </a:ln>
          <a:effectLst/>
        </c:spPr>
      </c:pivotFmt>
      <c:pivotFmt>
        <c:idx val="7"/>
        <c:spPr>
          <a:solidFill>
            <a:schemeClr val="bg2"/>
          </a:solidFill>
          <a:ln>
            <a:noFill/>
          </a:ln>
          <a:effectLst/>
        </c:spPr>
      </c:pivotFmt>
      <c:pivotFmt>
        <c:idx val="8"/>
        <c:spPr>
          <a:solidFill>
            <a:schemeClr val="accent2">
              <a:lumMod val="75000"/>
            </a:schemeClr>
          </a:solidFill>
          <a:ln>
            <a:noFill/>
          </a:ln>
          <a:effectLst/>
        </c:spPr>
      </c:pivotFmt>
      <c:pivotFmt>
        <c:idx val="9"/>
        <c:spPr>
          <a:solidFill>
            <a:srgbClr val="FFFF00"/>
          </a:solidFill>
          <a:ln>
            <a:noFill/>
          </a:ln>
          <a:effectLst/>
        </c:spPr>
      </c:pivotFmt>
      <c:pivotFmt>
        <c:idx val="10"/>
        <c:spPr>
          <a:solidFill>
            <a:srgbClr val="C00000"/>
          </a:solidFill>
          <a:ln>
            <a:noFill/>
          </a:ln>
          <a:effectLst/>
        </c:spPr>
      </c:pivotFmt>
      <c:pivotFmt>
        <c:idx val="11"/>
        <c:spPr>
          <a:solidFill>
            <a:srgbClr val="00B0F0"/>
          </a:solidFill>
          <a:ln>
            <a:noFill/>
          </a:ln>
          <a:effectLst/>
        </c:spPr>
      </c:pivotFmt>
      <c:pivotFmt>
        <c:idx val="12"/>
        <c:spPr>
          <a:solidFill>
            <a:srgbClr val="002060"/>
          </a:solidFill>
          <a:ln>
            <a:noFill/>
          </a:ln>
          <a:effectLst/>
        </c:spPr>
      </c:pivotFmt>
    </c:pivotFmts>
    <c:plotArea>
      <c:layout/>
      <c:barChart>
        <c:barDir val="col"/>
        <c:grouping val="clustered"/>
        <c:varyColors val="0"/>
        <c:ser>
          <c:idx val="0"/>
          <c:order val="0"/>
          <c:tx>
            <c:strRef>
              <c:f>'Pivot Table'!$X$4</c:f>
              <c:strCache>
                <c:ptCount val="1"/>
                <c:pt idx="0">
                  <c:v>Total</c:v>
                </c:pt>
              </c:strCache>
            </c:strRef>
          </c:tx>
          <c:spPr>
            <a:solidFill>
              <a:schemeClr val="accent4">
                <a:lumMod val="75000"/>
              </a:schemeClr>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3-68E8-486E-B7B1-60073FEB9A6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68E8-486E-B7B1-60073FEB9A6C}"/>
              </c:ext>
            </c:extLst>
          </c:dPt>
          <c:dPt>
            <c:idx val="3"/>
            <c:invertIfNegative val="0"/>
            <c:bubble3D val="0"/>
            <c:spPr>
              <a:solidFill>
                <a:srgbClr val="00B050"/>
              </a:solidFill>
              <a:ln>
                <a:noFill/>
              </a:ln>
              <a:effectLst/>
            </c:spPr>
            <c:extLst>
              <c:ext xmlns:c16="http://schemas.microsoft.com/office/drawing/2014/chart" uri="{C3380CC4-5D6E-409C-BE32-E72D297353CC}">
                <c16:uniqueId val="{00000005-68E8-486E-B7B1-60073FEB9A6C}"/>
              </c:ext>
            </c:extLst>
          </c:dPt>
          <c:dPt>
            <c:idx val="4"/>
            <c:invertIfNegative val="0"/>
            <c:bubble3D val="0"/>
            <c:spPr>
              <a:solidFill>
                <a:schemeClr val="accent4">
                  <a:lumMod val="50000"/>
                </a:schemeClr>
              </a:solidFill>
              <a:ln>
                <a:noFill/>
              </a:ln>
              <a:effectLst/>
            </c:spPr>
            <c:extLst>
              <c:ext xmlns:c16="http://schemas.microsoft.com/office/drawing/2014/chart" uri="{C3380CC4-5D6E-409C-BE32-E72D297353CC}">
                <c16:uniqueId val="{00000006-68E8-486E-B7B1-60073FEB9A6C}"/>
              </c:ext>
            </c:extLst>
          </c:dPt>
          <c:dPt>
            <c:idx val="5"/>
            <c:invertIfNegative val="0"/>
            <c:bubble3D val="0"/>
            <c:spPr>
              <a:solidFill>
                <a:schemeClr val="bg2"/>
              </a:solidFill>
              <a:ln>
                <a:noFill/>
              </a:ln>
              <a:effectLst/>
            </c:spPr>
            <c:extLst>
              <c:ext xmlns:c16="http://schemas.microsoft.com/office/drawing/2014/chart" uri="{C3380CC4-5D6E-409C-BE32-E72D297353CC}">
                <c16:uniqueId val="{00000007-68E8-486E-B7B1-60073FEB9A6C}"/>
              </c:ext>
            </c:extLst>
          </c:dPt>
          <c:dPt>
            <c:idx val="6"/>
            <c:invertIfNegative val="0"/>
            <c:bubble3D val="0"/>
            <c:spPr>
              <a:solidFill>
                <a:schemeClr val="accent2">
                  <a:lumMod val="75000"/>
                </a:schemeClr>
              </a:solidFill>
              <a:ln>
                <a:noFill/>
              </a:ln>
              <a:effectLst/>
            </c:spPr>
            <c:extLst>
              <c:ext xmlns:c16="http://schemas.microsoft.com/office/drawing/2014/chart" uri="{C3380CC4-5D6E-409C-BE32-E72D297353CC}">
                <c16:uniqueId val="{00000008-68E8-486E-B7B1-60073FEB9A6C}"/>
              </c:ext>
            </c:extLst>
          </c:dPt>
          <c:dPt>
            <c:idx val="7"/>
            <c:invertIfNegative val="0"/>
            <c:bubble3D val="0"/>
            <c:spPr>
              <a:solidFill>
                <a:srgbClr val="FFFF00"/>
              </a:solidFill>
              <a:ln>
                <a:noFill/>
              </a:ln>
              <a:effectLst/>
            </c:spPr>
            <c:extLst>
              <c:ext xmlns:c16="http://schemas.microsoft.com/office/drawing/2014/chart" uri="{C3380CC4-5D6E-409C-BE32-E72D297353CC}">
                <c16:uniqueId val="{00000009-68E8-486E-B7B1-60073FEB9A6C}"/>
              </c:ext>
            </c:extLst>
          </c:dPt>
          <c:dPt>
            <c:idx val="8"/>
            <c:invertIfNegative val="0"/>
            <c:bubble3D val="0"/>
            <c:spPr>
              <a:solidFill>
                <a:srgbClr val="C00000"/>
              </a:solidFill>
              <a:ln>
                <a:noFill/>
              </a:ln>
              <a:effectLst/>
            </c:spPr>
            <c:extLst>
              <c:ext xmlns:c16="http://schemas.microsoft.com/office/drawing/2014/chart" uri="{C3380CC4-5D6E-409C-BE32-E72D297353CC}">
                <c16:uniqueId val="{0000000A-68E8-486E-B7B1-60073FEB9A6C}"/>
              </c:ext>
            </c:extLst>
          </c:dPt>
          <c:dPt>
            <c:idx val="9"/>
            <c:invertIfNegative val="0"/>
            <c:bubble3D val="0"/>
            <c:spPr>
              <a:solidFill>
                <a:srgbClr val="00B0F0"/>
              </a:solidFill>
              <a:ln>
                <a:noFill/>
              </a:ln>
              <a:effectLst/>
            </c:spPr>
            <c:extLst>
              <c:ext xmlns:c16="http://schemas.microsoft.com/office/drawing/2014/chart" uri="{C3380CC4-5D6E-409C-BE32-E72D297353CC}">
                <c16:uniqueId val="{0000000B-68E8-486E-B7B1-60073FEB9A6C}"/>
              </c:ext>
            </c:extLst>
          </c:dPt>
          <c:dPt>
            <c:idx val="10"/>
            <c:invertIfNegative val="0"/>
            <c:bubble3D val="0"/>
            <c:spPr>
              <a:solidFill>
                <a:srgbClr val="002060"/>
              </a:solidFill>
              <a:ln>
                <a:noFill/>
              </a:ln>
              <a:effectLst/>
            </c:spPr>
            <c:extLst>
              <c:ext xmlns:c16="http://schemas.microsoft.com/office/drawing/2014/chart" uri="{C3380CC4-5D6E-409C-BE32-E72D297353CC}">
                <c16:uniqueId val="{0000000C-68E8-486E-B7B1-60073FEB9A6C}"/>
              </c:ext>
            </c:extLst>
          </c:dPt>
          <c:cat>
            <c:strRef>
              <c:f>'Pivot Table'!$W$5:$W$17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Table'!$X$5:$X$17</c:f>
              <c:numCache>
                <c:formatCode>General</c:formatCode>
                <c:ptCount val="12"/>
                <c:pt idx="0">
                  <c:v>2400</c:v>
                </c:pt>
                <c:pt idx="1">
                  <c:v>2250</c:v>
                </c:pt>
                <c:pt idx="2">
                  <c:v>2430</c:v>
                </c:pt>
                <c:pt idx="3">
                  <c:v>1350</c:v>
                </c:pt>
                <c:pt idx="4">
                  <c:v>2650</c:v>
                </c:pt>
                <c:pt idx="5">
                  <c:v>450</c:v>
                </c:pt>
                <c:pt idx="6">
                  <c:v>3000</c:v>
                </c:pt>
                <c:pt idx="7">
                  <c:v>1610</c:v>
                </c:pt>
                <c:pt idx="8">
                  <c:v>1480</c:v>
                </c:pt>
                <c:pt idx="9">
                  <c:v>2800</c:v>
                </c:pt>
                <c:pt idx="10">
                  <c:v>2950</c:v>
                </c:pt>
                <c:pt idx="11">
                  <c:v>800</c:v>
                </c:pt>
              </c:numCache>
            </c:numRef>
          </c:val>
          <c:extLst>
            <c:ext xmlns:c16="http://schemas.microsoft.com/office/drawing/2014/chart" uri="{C3380CC4-5D6E-409C-BE32-E72D297353CC}">
              <c16:uniqueId val="{00000000-68E8-486E-B7B1-60073FEB9A6C}"/>
            </c:ext>
          </c:extLst>
        </c:ser>
        <c:dLbls>
          <c:dLblPos val="outEnd"/>
          <c:showLegendKey val="0"/>
          <c:showVal val="0"/>
          <c:showCatName val="0"/>
          <c:showSerName val="0"/>
          <c:showPercent val="0"/>
          <c:showBubbleSize val="0"/>
        </c:dLbls>
        <c:gapWidth val="219"/>
        <c:overlap val="-27"/>
        <c:axId val="253730032"/>
        <c:axId val="253723376"/>
      </c:barChart>
      <c:catAx>
        <c:axId val="25373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3723376"/>
        <c:crosses val="autoZero"/>
        <c:auto val="1"/>
        <c:lblAlgn val="ctr"/>
        <c:lblOffset val="100"/>
        <c:noMultiLvlLbl val="0"/>
      </c:catAx>
      <c:valAx>
        <c:axId val="253723376"/>
        <c:scaling>
          <c:orientation val="minMax"/>
        </c:scaling>
        <c:delete val="1"/>
        <c:axPos val="l"/>
        <c:numFmt formatCode="General" sourceLinked="1"/>
        <c:majorTickMark val="none"/>
        <c:minorTickMark val="none"/>
        <c:tickLblPos val="nextTo"/>
        <c:crossAx val="253730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vertOverflow="overflow" horzOverflow="overflow" wrap="square" lIns="0" tIns="0" rIns="0" bIns="0"/>
        <a:lstStyle/>
        <a:p>
          <a:pPr algn="ctr" rtl="0">
            <a:defRPr sz="1600" b="0"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600">
              <a:solidFill>
                <a:schemeClr val="bg1"/>
              </a:solidFill>
            </a:rPr>
            <a:t>Sales by Category</a:t>
          </a:r>
        </a:p>
      </cx:txPr>
    </cx:title>
    <cx:plotArea>
      <cx:plotAreaRegion>
        <cx:series layoutId="funnel" uniqueId="{045CB588-38CC-4A68-891F-56D335A4CD33}">
          <cx:tx>
            <cx:txData>
              <cx:f>_xlchart.v2.1</cx:f>
              <cx:v>Sales</cx:v>
            </cx:txData>
          </cx:tx>
          <cx:spPr>
            <a:solidFill>
              <a:schemeClr val="accent4">
                <a:lumMod val="75000"/>
              </a:schemeClr>
            </a:solidFill>
          </cx:spPr>
          <cx:dataPt idx="0">
            <cx:spPr>
              <a:solidFill>
                <a:srgbClr val="70AD47"/>
              </a:solidFill>
            </cx:spPr>
          </cx:dataPt>
          <cx:dataPt idx="1">
            <cx:spPr>
              <a:solidFill>
                <a:srgbClr val="ED7D31"/>
              </a:solidFill>
            </cx:spPr>
          </cx:dataPt>
          <cx:dataPt idx="2">
            <cx:spPr>
              <a:solidFill>
                <a:srgbClr val="7030A0"/>
              </a:solidFill>
            </cx:spPr>
          </cx:dataPt>
          <cx:dataLabels>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600"/>
              </a:p>
            </cx:txPr>
            <cx:visibility seriesName="0" categoryName="0" value="1"/>
          </cx:dataLabels>
          <cx:dataId val="0"/>
        </cx:series>
      </cx:plotAreaRegion>
      <cx:axis id="0">
        <cx:catScaling gapWidth="0.159999996"/>
        <cx:tickLabels/>
        <cx:spPr>
          <a:ln>
            <a:noFill/>
          </a:ln>
        </cx:spPr>
        <cx:txPr>
          <a:bodyPr spcFirstLastPara="1" vertOverflow="ellipsis" horzOverflow="overflow" wrap="square" lIns="0" tIns="0" rIns="0" bIns="0" anchor="ctr" anchorCtr="1"/>
          <a:lstStyle/>
          <a:p>
            <a:pPr algn="ctr" rtl="0">
              <a:defRPr sz="700">
                <a:solidFill>
                  <a:schemeClr val="bg1"/>
                </a:solidFill>
              </a:defRPr>
            </a:pPr>
            <a:endParaRPr lang="en-US" sz="700" b="0" i="0" u="none" strike="noStrike" baseline="0">
              <a:solidFill>
                <a:schemeClr val="bg1"/>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Sales by State</a:t>
          </a:r>
        </a:p>
      </cx:txPr>
    </cx:title>
    <cx:plotArea>
      <cx:plotAreaRegion>
        <cx:series layoutId="regionMap" uniqueId="{CCB0FBF6-D162-408A-8901-939DCD8760E5}">
          <cx:tx>
            <cx:txData>
              <cx:f>_xlchart.v5.5</cx:f>
              <cx:v>Sales</cx:v>
            </cx:txData>
          </cx:tx>
          <cx:dataId val="0"/>
          <cx:layoutPr>
            <cx:geography cultureLanguage="en-US" cultureRegion="MM" attribution="Powered by Bing">
              <cx:geoCache provider="{E9337A44-BEBE-4D9F-B70C-5C5E7DAFC167}">
                <cx:binary>1Htpb924su1fCfL5yS3O5MXtAxxKe/IcO04n+SI4tqNZlEhq4q+/5Uwd++Sk++D2e3gdBDBsiZtD
sVatWlX7v++W/7prHm7ti6VtOvdfd8uvLwvv+//65Rd3Vzy0t+6oLe+sceajP7oz7S/m48fy7uGX
e3s7l13+C44R/eWuuLX+YXn5j/+GT8sfzKm5u/Wl6V6ND3a9enBj491Pnv3w0Yvb+7bs0tJ5W955
9OvL325dATN607188dD50q+v1/7h15dP3nv54pfnn/YvM79oYHF+vIexVBxRhAgTUqhP/8TLF43p
8i+PI4TjI8Y4lTFF8eM/9HXu89sWxv+5NX1a0e39vX1wDrb16efTsU/2AI/++fLFnRk7/3h6ORzk
ry9vutI/3L+49rf+wb18UTqTfH4hMY8bubn+tPNfnp7/P/772R/gLJ795TsTPT+4P3r0Lxb6py2D
6W6/HtH/3jyEHmFFMJaI/tg8CB1xTpnijP/IPH9iQT+2zbeBzwzzz/d/S8NsG2PL+7/QMFgeMcUY
4uizXZR66jcSH1EpCMWSfLJLTL5eis9+8ycW9GPDfBv4zDDb07+lYZLbpvxobFf+hbYh4ggzyrlC
6vPZo6e2QUgdcSSwQPSL9Z7a5s+t6cfm+X7sMwsl//xbWuj8Ybr9Kz2HqCMCAYUyEn92HfncOvyI
M0akkPJHkPbH6/mxZb6Oe2aV8zd/S6skBhDt9t58vbl/QaiRR0pJxmKKf+w1MTtiVEjCn0HZn1nK
j03y+8hnRkku/pZG2T0Ym/+lSIaPgHphSdVn8vXIvr5nZ5IcUUqJoPFnV3keZf7Egn5smW8Dnxlm
9/fEsEPTlJ0pgTb+Zbw5PkKYIvCGL8TsefxXR4hKTphkXwjC17k/x/8/s6Ifm+b3kc9sc/h7MoDz
h/nFO2Prr+fzv0cyio8UUZgS8gXJALC+9xrBjjg8YfwrqeZf5/5smz+zoh/b5veRz2xz/u5vCWgX
RfkXRhgaQ64JnFmJH0d+4MzwhABrFj/kzH+0mh/b5POoZ/a42P897WEf8r80+yfgKZIDTvFvKPW9
p3zO/iWKIfA/9ZGLP1zJv7HGl3HP7XH1t7TH64fl9i8MKgQdUU4klejH4V4BdQZQU0Lgb9T5c0D7
DFx/uJwf2+TLsGcmef32b2GSn6tE34f7J2/+hzIZJC0sBpUMuNY3aPreUcAy8SMZIOoLHaBP3eWZ
ePXvl/VjCz0b/mQn/4+UsX+vmn2TF9Nbf7v5pEt+J5z9/Omn7YJe+mzoz2ja57M73P/6EkP+jr8z
5OOHfBn52R/Oyq57cMbffjXGd6Mebp3/9WUkFeg0hAjGqCKI0xi4wPzw6ZECGYFIFQM8gukR4zBX
Z6wvQDUFR5T08T4wDEwD1NOXL5wZPz0CSq4UYQqRGLgffPI3UfjSNCvA97cT+fL7i25sL03Zeffr
S4QwzNJ/fvFxtSxWSMgYgz4LQiCKMYrh+d3tFQjBj+//H1LUqvW0i0+6ODLFMCaI8ihdUJftS4+W
flNT4o1eydTb7RIRRDa89+RhWRrhdBvKTvfj6s6WNaPK6IFU4bclNJS+QaohdTo79CGXOL9pl1Ek
Zc7ZbxOl/myIc38ZZhVl29JULNemiMRZPsPDZOKL6ndRVdR766vuRFRL2LcLe9VYTz5EM83Wk9gN
i9SUY386VYp2N6TORnHqwhDiZGz4PLaatmS8r8JqdYfdkmTcxFpV/Tasbk5D7daU2JgkhSDju7li
c7HocWqjs5qULOjBtqLf1mDb6zxrWp4Q3Jl60zdZeYOKddB5MXchsWU18QPlzN0La4ZrTkd8cMIX
O7xU982g1k0pyjJx8VBWepow3lW4fL3WpL7klciqPbxCzlZRZW3qF1LufUe81RYkjo1H0e1S00XL
uGrng3UiSkKnyGZQWC3JJIspDYUY2CbQyF2huGFnk2LLBvlRoMOo1GBOfFDZm9BKcd0Llr22fsXy
YDNPorRyPWtOGkfdkAibVW+n2RabiGCR1FwIOIN+0sO4dMdcmebE9wLOcmznUmPusljX6zqf+NHn
MonyvtiIkoeroctpGe+yvLX7GvFagww/a+zn/VrNoUuFXKciodlQbeWaZXtqWvy2D2RtdXBReK0a
0VDt81mUexrFsnlTWjl2N7kUQsSbsaN4iTazb5RzOzxWa+wORc66VrdVw0p0m7tgc7BcgzRjjdq0
jiZ46Ol5YNm8WeKs23DVoUM5hStZZHyjCtokdW3mKimZzTU1Q5sUXHltR++kbkJESu0YnjdNyKbE
LrLXXSRe1wtLW4YP+WjP2CorHeagRWnO6RCGZGT1ji5tdizqbtvx2t1EUfFqIUhoC9Ns87B43U7r
OxTPYStEmW2zab2Om8odBlsUm8CH6nRoo/jQM1pvfTbgYxV1XtcOuY2Likq3dCmP6diY7SxNeRI1
azjEA7gm5g2+USt+33lJkwHlQleFjxLqq2lrOuH9MSOkOrhy/mCNbY5tSfOTgYsxDaGNN7ZfdyZS
iaP9uKWhh/OJhrRsoy7Jh0hFukdVkeRF8cDC8FYsqNIqM73mQxy0oraWSUzlnKpxzU87tnTalWu/
G6pw7cvIaWRKpCfMsoTaCl3C6quTiq2R1dni+wMiZHzom35NZUHgcMDZ9kM/pbXoie7y4PdmGA7d
zK4H0lzVsjwNKNspO8ZJhcPrkvudiZ06Fvl85VR56EKLUxmvm7yC0895kciJ3rhh2Ml1OatwtGjF
xmVr+8Zvpiw4nWf0DSeh1HPXuhS1zUNDY6txN/O0aorxuoy6MzkglCjPnR48AxAs5RntW6urdll0
LBXSWGL6Kh6LbtMutkuEmma4W71DHdiD77BrXRIVatxL29wFsZZ6wLE65gCXx6MlmV4yUp0Xylf7
UZIiBa9Ar/JieDVVbhNJ2BTUjM4XSavb5hHN6jETvZaVi076HtOrEg/82PS+SMBgdtsvvXonhuJt
HLlJN3j5WPgW7XPhxsSVQ6M5kmvCokwdj2tJNg5g/ZUnc6/zwNWhrsRVxu2refLxFmBCnpgqmkXi
au5/A1wZUzyJbNI98dV5hccpGXztdzEYahubYTxnOSuuyLKoM7vEV8FGPqVV+87lGCeVGi/Wpd12
w1DopeqFDp27crwDdCkKnY1xta1ITWB5ht4WtDyvSQHRYciSpUZqV1b+ddPVfIvbkF3P9XzWR4NN
FuSrGxFVNyxXpW6i6dYF9Zbn+IBHxuEej/22bZpFF3jeutkeDK92ClcZnOJAzzHKh90s7V3HVrZh
Nrh97PHrPhM1XODayLQtmumEDXN8XiByNar+tHHFG17joHETNrGhqwak3fBIvadqdgmhLKkfsbSP
5KV0ZOfKarlawHSt7qd8SABG5fs6y9HbhkmeWiLA1SKaaSymM7FOm2moj4XEfsumAZ9YXkk9TH05
JJkyRVKvjdw1yxgOhfF731fHU5nVO9/EZZKrqNflFG0hmDVJyJTQcqaq1YaO9I5GYC/tTSTP1xDT
V0VLIx2EHc6asYySdZ7Mpq9Y8aFfOE1mPJ4u5QAxYW5uEJ32XWbO1BQgsFZKbbD119PqzodStHfT
0u2VXN9Wom42E+yHL7WpE8pEeTKt5IBsi7a0yCROcsbC+cJoM2mWDX06hgKdsJLl2zUiq3ZjTt5l
ZuyvSIzqTkfWd/1G1oBMU0u6yzyaXK2NLXjiIa715dztV8OqFCHUb7uxH09x3mVJiXG/V2Nc6oxE
N0U0P4bnOU8NVzqS7HyOBX4TdU13Eef9tKR0bWhe6jVU41VXRfKgXB2Ol4nc0CXuP0R2ivJ91nZj
vWViJk6TBs1WU2rWaQ9xFm8mr+7aaLpEhSgTT2d/5Vh3OXdRlAx19Kpdi/GiXsrfnCV2Oy7cHA+B
/yYdbV4vZX2MI+Q3CLaX4q4Z3gO80v2M1uy2CshuZpbZA1kivKnMVOx4w0stZV8nbU1hs256p/Lc
bbpYRmf5NNdveuVnrSYnP/KR5enIeqxZQZpbI8V6LeaI63qU70jN+qSVrXgjRCjTKONxgkVRve7y
LtbLHLudEk2rCVlMutBHJwKDVZospN4OsgRAVrC83Lp201b3va0/rHEkrpTqpt+ImzaxGovzJq5Z
uk4QskXVozaRpaVFEnpLdR/b5sSFYPbVOFLgCF1+hnCz93VWJxET/WYclbmSLR5ygNtifBUNRO6D
4MNvUVB749fl9eRyukWqVGWiQl2edt7fD7W8A3RutoPiKh1tNt6UFTrhHVG7Xtk1ZXNUbrKeQ4Ao
FU89JlNSMBx3SWQqfN4RUiYGs+G0Qi5oaNJYT1s6q/1s0JKKYrhr8hYl49KU6LLvJ3QNAOmWDRlJ
IzX3c9HsKBDxLW1pDcHLRd27QShykvOVbRvggm/i2ZI1MbKRi47oSq7bgqAPXcP4B1p2hR6Cz5XO
ikFHqAHCMMKZYwVgGZgEetxOx2IMkS7HOO0IvsggUSHgt50ds+NCNWkLzCMpZDnlRdJmqJ2LEzvO
Ylu3U36tIiCi6AyIVtJ20xurwoHj+d5knO+GXoS09f2yGbOcH7LOYB0WpjQEyR1Y7ZhV1GtVTn3a
GFPphY7vJ099gkM/6q7PSMoak2mbDRD/arMvaNfrNeu97iVq9sRjqgtbTcddPG8yS86roiI3JeV2
1/RcnpRFa04qX7RJLdT1GoptMw32yhYT3cXow9gUQJiqzGyqNrtBuW11M+A0iyhJedH3qWNWy6nK
ji1fu40Ymn3o4N61dnFaKowSE3V9UtIplc0yAJyUTIMkP2k3TFqGung/K3/KgeBvYwlH3Kr+ZjGd
2YAI2WtWticzL9e0QrJNIVWp4HpEtNG56CEmNuZgDL1Sc0t3PCd3TTfemH5lFxEPr3wLeQr2bN0u
c0cT2/u0p2uhSc/sWWSXaWtDhN80s3XaN217s3jXJhhXEOrWiOoK2UgT0yRVwaJa48qY07oNN+3Q
L1vjgNOVJivva4tStIjwKpRwy5eG6zWmreaLzG4Eak6HYqTnliqfjEP3Eciv03XhNqgKJimiGoNJ
p4ulcMU2NGN7Y2lVpg0d8+1AO7WhFMgOHiTTa1Q1Z3UO4LLOdbtVMRvOucw+xM7mqaoXvivmenk1
rCLaKsdRsjYCWA/q1UXcV+fdso7nODZJa4Y5Cc7WuqDxeo4rdRwhGSeBG5KIaZq0UGI+lUTcG8g3
GhS9wzLc5j3fCeTGU0hzVziMejs34ZDJetqEKNo1xcdIDqNG3MWnyFX9fqjt5VCSk24pAB6LQSbj
VMbbvof0dsKW7IifdtgwpElVnUhEIIBW8XFcyxsmCqJJGW4XMd5lY/7BmBrujyGvRn8mTHZjpuA1
pFP5+yjCUzLS5uDLEJKciNOg5FvZm9QqZXY1BEeNc9mfZxmudNTF6JTS/lU1AzuLXBUnfgyu1LXM
4/M6MzPQs+hy5MMkdd0uAUJClcF2IRIMOo76YrtK6Q4WbvD71RYPpJ7hjmTzqguCndUzbfykC9a+
a0zVmk1ZovYcQhYNejGkAYJnrEhxYbtXs8d+P0XLkMQVr3dVGeU26bGNi8TUvn+HZ1QmyzwxSHL6
4WYeZXOYpmI6AKuuD0oU3Y6qjm77NeQnczzyre3G16sNuR6MulByrC67MkIfWenGk1CU/Lgn0u5x
s9bHo8nWLZupfU271aTS4lvI4auzuqOQ4OfxRQj5lEzO5KdkESQZEWZnKOZ0M4Rl2RGzyLSaIFua
BI22XgmZ2jIHAtB1u6kjNM2XCJKqIa80dM7lKWgbke5IfJHTUSa8r8gGF012wZHne9GsH2Q7Kt1i
cSvyBk4MSO1ZNzbd3lbrgdkpaDtP56g1QCtcISAWq/fQVlKmA7T3pFVbTDrqWQc0yIZ0ruHjnZqT
EXwn5wvQPcj6txRXHSgDODHLUm0LEzcH4I0H0XZV0jTttAW4YhtA8xVMz7pNU5e7qugvIJmSV2MV
0R2kwqC4kKV6N9VKAZOmcX0GoRqi0AzZwvnq1EnnOqn7uqIpzgTTY90m0QTph0F4OBGrizXPm3Lv
aooSa/tK197FJ74e/LEz5OMQxrNVNVY/5hY4lOcI0H2zhLy9rCyY0dRcV6rGG9Q0cxLNEdLclD6t
BxmdzLS6LHGLdW3as5yLN0YqtwN+PSRLD9ffLcu2Q/Eun0HvaDyDXIYV63asS/goOWJdQnNfMP0r
bvzZ2q+VtmuWhpxsQGWAPAuTLmmjttOzL2B7Dcg1xCVxsQAqszjbF6axm1D3DEjLejyDpyZj1mQ6
Hj1gJEM2BQL4YRLVh1Kwg6TD5eLNcijdilNIIU8Aot/02dRt6bhsINWCm4xWkfjJzRq8IT4PaMQ7
ucwgowQIutSTg+3R1VpFB1mNmzDxOhkG1ClIdEL320AjkE3meZZb3KDXgJ1XeM1X2NHkNzWfIfOS
c5JbSAd9FOsQej2CIpCirJyPC4mAx9HuQ+eNelXlERhSst0wD0XKFxJuoBvwUgTl06VHOCUu3nrH
hKbWVjwBohylvBGrhgSnet1mxYNEw7kL+KSW/JYgvO2h/xO1u9HLj3Zae0hzy3XToVAlrlXpUHUJ
qvoqDcP0sfe2Tpqofl8MUbEZKIYks4+SGhsDoooErSRUKk+7DrSAAgWgLVX2vjLVpS0AoBM3Wr4k
fUzFRTtO+DgCTt/rJW+wnidIyqdhtfASRPJ+qlut4n7YdG7pbFp4oeeBn/QtOrExS3i1tEDE6mbc
goqTH0PIYroOSAwQoddhPI1MsDvqcKO04NQeymbILiWgmtfGIctaoMZDIfUCjNy/jihv3baVLlq3
NqpnmxBUgNTGIUdYAT7wWG4raLsYsO7gjFjWg+YwRmt8OgpJP7h6EbU/zZByoFjo71tPn6i8d8AJ
AJ6KL92/3379x2vTwv9Pvai///Gxefj336AH41HGds9felTiv731ez/ro/r9rbn1mZ5+9akD+d+I
7T99+CeVeBIT9jMl/mvz1Xfi/echX2R4hOhRTKCVRcUS+va+l+GhBvm77o6P4lgQITimDCGBoOvi
i+5OGDxiHPpgJIV+WejM/I90dww9Ak9kd2gQfJwGRHeiOBYM6gLfy+6Fp8vU2Z6cicyJN+tM2WEl
CMQvFpo4XYt2GMA9zTE0iA4IMHiANClA9jZz2exG7IZTlsUjfsuKUJ8b0djiZIBMFHTOfgBNcrR0
fUMmOr31dWtTn69BF/2Kl0RNcsp17ytwf150026cV3Q1EmfedVM2XQSrsiWRUTeP4B9WgA6e2Xlb
QoayF7YCJ7L1NGrRr37HFSxR90W11EmeG1ql0UqWS7qugm+LRc75XlEUxnSpq/hDNTZu1RDE6/tB
RMNFmbOpBZBrl4ssMw4wE2T2OG37dq11BfmuOJjV0rAF8Fz6HWAtPCUOstTjUebr5VCwYT3kUQeZ
fduuS3QsYYHmhGYhAjVjaFvyCgOheqVolV+Fqp4uhmbWfQXBMJ2LVuZJ5sy0q2Yr9q1quiGpqAn5
vlz8cgmKc92lEbUgRp6RGt/4vvci9OmcxcYP+wyxcty1GQbqtpOsq/OtsGUc4nSpWtvFSd3J5ZyI
0HYo8esUHahDZqx1nw8gTFTQmNV19aaUTdQsv7m+oY5cTXVXa0s4AgGPldm0nNfDRFW2aZvSKt0b
SGO2vexlrkdCCc9BCSuq7CJDa7SdMoPcnDDnCYbDHCfhT10cTUWaDzEXZh+7GWUn2AJ/SQfqpseL
I8I+LBUL22ip5hr4A5+b6dj7cezjc7S2lSdQinBumkOr6xlDOedtnhUYh3dL2aydvffz4FtAxzqE
Jnv1fwXKzr5+geI5ln0PZf/4/w/wnhRanxQRKRR4v33R4l8Kj8/qtd+h3uO4L5jH+ZEShHD22FP5
BPOQwEcMYcBCKCRCJ7OE8uKXyqNA0D1LBVSa4TsBGDD3C/wh6N4kGHprFIK+ZgXNzf8J/JGn6Pc4
I8Cu4ggEYg4dIhgW8D36NSBEd2iuGVCLzI8gFPa0j5ok7qcyvGFs7OtbGlnmQAle3UpBeFlYsYDo
ksUf8s7SLgLZZanFsSrYOqY11ESG/azaxp01rO2jVRuozPQfWO0rEKUizpuKJLkQFD2IxazjVVMs
ormVkvXZHWnJwM9zXg5QWmhR6WApFHLt9qJAsZ+7NG+YrXttZta2p0gAXVCbvG3ReoJBb6w+gpJu
YMx3Jv1BbRY6YL6LEJSrGHrMFLQyq8dWcxyDZb8/I4Hacix4IR+y2XTVsPctbei+oZMDuAou98B9
Q9lD/3sTZyXOtj+f/rHU/XR+AZGQQJubhAiFYDFP5w8VkY7HvLyvEJQqQa40hJFCK4UjKNzZZc6t
T23hc1qAMhWFHoRMSlaHoYIc+EyOPYSXRx3WDMSic8XkAM9+vsjHKPl78Rr6uKBfBTJWBYgIZAqu
5dM1LkUZQUpKonsO4muM0zyIXAzbRgLBjoF5ec7f10Dw/eHn8z6zzeO8VFGBMYuxAkHh2byQFBph
IiLv8xXuHNdT3DfubUEz3OV6rsqxvOiywnuvi8JgzPXPpwca8mzbApp4oHNXUSYx+NDTbUPcLKN4
Kch9JBoxQDlkjjm7BUeK/MGEUjTnkD4bBGFrWMfr2sUxMGv48lcDh/LzlQAiPF0JwxCoGNQgoH8B
M/LsIDwv42qtu+wuU6FjdmeGvs3WTZS1Tq27VUI6jNOfT/mvm4fWfQ71dBmrGBpinjUsFKLIGij5
2nvKZ/Dy7Yp4QKC423l0FOJpRvl7O8KpD9px4GDvTbxOVm2m0sT9/AcXAT1DMhEzFVPwEnBUaOYg
8tlqchUqpnoffShKK9pov0DyBw7RLqaAb5iNc0UDTcoWyAvkLQoTWBUr42K8bnterUkXIdtdq7YA
ypAOzFh81U5l5z78/Mwe8fR7P4Gv4MWUxkBqBWA4NBU/vTDjnEkbgwDyYbHewiWIxzqGw4qXmbBI
L5ZM0XWP6+HRafxsHn+UfT7+p4eFEBeQWcdcQXcLBWh7ugw5YOdXx82jfh0BhleAXmHW0xr7lZ2Q
jAHuOyil17dtxTpAVAulVMT2MqqiqdZDAWj7iPxrAaO6MkDVjS51b9o/gJVHnv/svOCQBOZQQQML
c/4sPi1k7nrVBfLBZZhH7abyQNDGSxDby75L5mEdYHGRaCd4ZtahNVClrsMaXc99nx0gp2uqPGlD
iNeTthg6n+kOGoEyUFJZHDVXvFV5AMWWqAUgEUfVirrjOCiggkldZvMw/IGbImjkf7IhDFVbqGHw
GL6LyeGbZc8QA25mN0zd1L8XDAphDFJqyeAqZhl0iNgEBREBtGfrZ/RsRgrPoKYCcNKjDIrOUOXx
hA/bcSZ/7ND0OYpjYBug+iroToJu0X+5FiB1OpAZTP++t+BFw4a4WtIzjAqynhA3rnAcKpua8KYt
Fkgt9FhY0DISAPyZX+VDyKK9bWkV3thodPxclvyRIIA63TZqV4/s0TzGEQVXaJ0Em656W9XhTWh4
DZQ3bprHoFXC6YOBTKdAjdYE0u7wRkIRH2xHWLXCDxegZUmmPXPEbaFN4tF29ZKXQDCGT9MrmUcg
PEvziUobIA+wcmgSeOQGvmdtfbtALXvot2qyaLqmxAR/am2dWQ0ynsWg0+RZu+xzCsH1XSc7aECY
4gnBJRMyB54xDZ0BivJzbHgO4XD6IhYC2gup4Aya1J46JcnWLkeqb94H1IIirxcci97p2VSmOZBx
mAEofj7jczTCArAIo0+ZOMTu5zM6G7tibsn8joTx8TLOI32EP+xEDcGbTwPj77OKBLiEUGD2Lj8T
ACxwT3++jEc6+8QpiOCfUm8MFTsMbXrPdh7INEIjC2/ftLRrPYGq98iiBzMUA6BRUbsObWwmTHkJ
JdIcEKcvmMk3ufR4Mhp6kSBT0h7nw0mTSX69ENtIKE7PiE9XXkZQah9YWMwJXKK40FVMs7LXNOPo
0dmLGO4hiPPALg5ZVftHz5+g4+vifyg7s+a4cSUL/yJGcF9eyVq0lmTJ0rX9grDsbu4LQIIg+evn
o+U7c1sT0T3z4gqVS0UCBBKZJ885cjnvhzX1auUt8/nvR/wxrsFEhOvn7qPeyaTgIH991nUois7I
MXqZdWeTxAZKuSSx87avW58ky78qHLOwbJc68XjJp1+ZrQXwve8KXRlXPAsa09yvK8sNhlc5uN4e
IuU22s5JNvMwluctWGt2nTD0nLzUWeOW3Rk5km3090NyP0S2mAwo5tgkqvEEITZ/CNXS69qtrzr3
JZ4Kj701Dfl+A5Pl6X3r/trHqDVW7k0Uy77FiZV7SFGD5KCxCoc03lmC/a1e1mP9vUmqyL8qDV0/
mcrV9OFFyIVPlQVYqXNa8zYcT7UVKY9aXM0gySvnBcP9h6F9yDIZGixP33XYKjDkyff++rQmOC1R
o/v1xcvnPVJNSrK0tmYr+x+THddul65TL7fXyO3287G1eocHsoRtk6/HraVHkZ8Sz9LmhSxVMR0m
qjxWnzdvRBN6LAlLzDfNsEc3Tdi8Kt3BENYmMhIuWE7C5idqLIepaHOfqZimqLCmLGh0xZYooMnw
0/v87KGwhiz734Xt43uO8p8M1Q97NCZdILuK3CCm7ISn+mGPOmbzwzWU1ue5jXqiw3t66xbxMtcZ
lWWRd/8UFj4cR/sl4d7ars2xRGPoY+FlVz0p5LBEn0ftsEKmdZpYUJz9zI9fDX4fHIWxetrEYQNn
UV01s+hIWQh6zJJRSzM9RuEYi+okJj8mGLAh5ycF4ZsToLXY+NPScVD9fmy5hEZq0qWJO/YKu2h/
HHm97A/CqkqHl2StkvnJ7tueOwnqmrMJvtVep/79bENK/mtMZPD7IUCQADJFyPyxsiEdHK3cXtbP
RbGGdEAmXXtDJowtqkvobr5aj7JQ4RCnCeBmVaRKyVLe2I32liAdyHasW5W3ln8vWni1mTT9kv+w
y8a+MkL7Ify9rm9++lWzqae2D1tsMDanMQ/+7NjLdoirLoFuIskfR30yJojni5KFWPo0bO3WufNs
5SQ0DFTiZNUyQdpI6enJrUoBMxVNwHypZzbDvCmzNuliwUOoTvTztf8cNtPq55m9ONpoGB6mcAT5
m8in66mIyMyyaGvMtlHWshSH66VehU7lOFThaU6iHMpCay3bZxP2bvlK8zYXB8+f4Aqs1Kf9Sods
GpNDUroGQDRo8qvI9aaD7CFZ3Iqks+2zY5zCPeXWGBf2caDd5b+swZzX1kvS28vyGejRm+6tceqs
J06MSP8MVBiqly2a8w6ste+dYvyUwLCuz6IE3ThtvR+3fZrUvecWWQQ9TcZvTlvF3c/CHXp4SyyV
Vf6R6MkYYMkGCK+6mkQng/hAHRA04Vm0Vh1eoIpbdX2ew8Edm+KPIoaHzCwvDt1X/37z+pklDdNo
HIpPXmhPoX3sOn8YInjGoiyaneVZy/xYzflk5jv4SHlZnoTfGh08ic715HVY+UUen1groQcUOm82
x3ozxqVJUvhtoZwOhVAbvVOTj1ZRnk3ZctpkdWJgUR1guOngS29p2NbXLA5jicx4pC3ORQ9kXUk6
rV68hA+NG0W8QE/Z37TKsuEFcZjP5bZ+9OXbpqFQzzdVqIbcvXIWy4qibK2CWkfnpauge9JDm/dz
0Q6skuHkXsCh8n0Ra2gnGRS4JMgfVjOYIXqshFWZ5hTVnuUO17Vek3h+CCsvKJNUJsmOSUSKtmX9
GuVCWNut7zcjM2WtkpB9T9QGzL61PKGi5s4pZek0j1VlqlgcTUUgyI+QZT3unZC13xJwcmO7Rzsv
1lIebLq2Kj50k20F3Rc3dzuuBxU6SV50HkuZKepgZhbyUckJkjlhsX8J90/KkkqZ7Dm9X4yMPhsK
p/PCU1WYfca8Zqp5oXM9Wc9dG+0h359he0dZYqaeBbB15BvnKVEtnxveh1pMwcb0yYoWCE3QZBRc
rSkciszOKffH4wzQxIJ/Oc2yz3PnJxVYkqUtxaOwujou/D+kpKCRJ1WWZFqZiemnQouMi0DDgIeq
KPUr0gBddswXPdP+XOjNd5b7GH4ht1LypIftOWRlcQWP/5Jvwlr2BRYqa3/ydMd5r0nafWrm2eGj
HLGxNNzD3I1cNvs9HqU8T74BuBW8F9DyCJ/rwBeJl8H1AgBKh6hwmIvfqwfucMJXRpW1D05M66/J
0Kwalf3OcZNgC/af6GbU955dKuv591Rb7x//9yS/fw6kwK3vI3eAw585nVXMb3UZDqU6l523Mmjp
brgPpbnr5aX9TAGe90kavD+ofpsnlhqVt1b5deckqwhSpy7mNXxIWt0zS7PbNnzEHcDYVAbMIeYk
re11T3pz6O282US5Ld+S9xnsB3YQce19TIVbUqNlQ9+FxrladbxX5/b7o31fHqGoG+Yn9Et+4xhE
zT74JVwRLpxyR+2XKXzo9orus7Sj4mWzSl9PN4zU26f3fSFtetXcJYPcv8Up1cjvIaLxWF3jVOy3
/j6hFiR8fugbr/ejo2XTnKmuN2Q2dJFyG0TLPppS9+zppMp35GM0PN9yjlz55oR5x/IZAzJWBq9m
kt2HESx7/0J33l/8OY95aTp73w7tFuz33+kQhvqLbvImL09dHvO9hfSc3LtCZxI50633vlbKakym
6Px7ypNqVtzOUno1X8IJ0HPxaihrzvnZodVsv5C5VfF8GKQ1dWVmj7ng4kFV4HpymJoBbLMBMACy
4TEV+jrq8307a85X3qtXDTX4VJMsQmzwkrFZ+qvJ7+22zZrEhzySijGnzncSR/P5YpIjLySNQXNp
pebftTWAaIFtHKAiCZbfXOZ6EoACRlVc3Snyfn4NO7FQBYh129e+SQjl1WnxpEuEiek46fjYtByx
7XGxOpGM10HCUbV8tcOlIt7kcARr1D7vcHI1NTD/TrpoqHd/rP6IFvtqqAqm4+z92jMSRiQTNgpT
i+3VK+LeTC/SM4UJr6b3oS9JPjJF3rBsNSOqczMGx3CzHaLcpPx9+pA37asGvGpf4u/4aTzWhhmA
r7GPdypLlxfFAufzsgQKhUzZbODKie/WXZICWaxhe+8NjuIT4ersNewc6JF19Q6ybE7QKHHSnVQC
pYiQG9+xvUNvgrIc1FCi7gAvFU5N6Usvs+67bGoAJoLbtg73/TT5pgSEz+t4IlR6oVg580Z4O7uI
xgv3ydMlDeT26Oq4Bouvmi7n19XaMMqvhvRMWDdGjEqVl8SrdpCy1xx391EtvHD65ANjrRB2RGWt
xSk08JXHA9AForY0AgQKv/k55A94ppzVPPzN8jdGFXbtfmy0cI+ZNeUqh8X3PpPVRF/64pV26c03
ZgtaEX2qN22sZ0UyDaqwDfBuvxFvWV+WGTZmoPLtfQxi6CyCP+XljlI1JfkqmXXS9mb4FiZrIZ03
H8JicwlDOawChlQ/TtafpnSqRRw50bwmSEfkZ9LK4saJ1CuIpKmnz3Yuq5y+b7B6xfJkUK148mcy
l5Dov44iBpo4q1rPLTwcdxvr1w0xl9+nmtNhodh3nJ6cMoqCRDuaVd5WiZvNvGlFsA9h1frL4fdI
3p+lHODhBRl+NOs+rF/hpmnmPf4la75HE7L/ffOWY7t/ovuF3ovK3d8LHNviExB/9g8KD3SiPVK5
772NshEDWzknWxSXbVqdAZ6rifZdmbT7//xesuSURKIkoNlDC+AXHr6HUytHw7QiK0gdKC7xoy7Q
yfSpsTvQc39FFeBeG9ntuzy3th0OHOkT8eKTlk3XaOxY3z4s7uYCbrnfeV3Safz2+0KBSjjSJEvF
en6v2Lqy2iLa+t2g/U/1e8CCjLN/s4ydHYy2GrmDkKMKle8f2ryVsIMLGWrrWZfBwJgnQxdvvind
fE/jCn/hGtHc7Lelf204q685R1IR6H2TD+7eZjx0ZtnXZCQ2ty4h8Yxd2x6LqmE3nt4nBBx4D3rQ
m/YUiza9Vd0WLqTH+B+Arw8FPVgO8YEV7BLcQud/wcrFRA8BvNp9Lvo+5K6jPF/YDaYnzEqoBtxE
A0GPWZhLud/7P1R3f63t9stj5hai+fzlLPYRfld66S0zRkBV76GxAgPe55/uTnP5+0t9ANDZTTZK
Zq4FZMW/4V7W/4eq1MTQ+gSp5L/XiF0vfZ/JQfj+AyzdfXUnsLB50WXFE+596MNB9js4/v29/BVC
CGDsgAo5OD6FtMNZ5+5f70XMngt8W0Fnp6sWfisDpHDyNI4QMI/QEv95nv/3BdHP71pfeJchz/oD
ZlEXynaa1hZPcuk4KPKaE/86WmvC3O+d/fcD/KXR/Z/2zj7C3dMiiBy0ZA7tqA8XXJrKz7upCZ9+
RwxTbDtov4beGgSnxR/j+VQNYlOftPFW2DK62+O5h2Dl2Ro3n/PoH+7oryudO6KUQtxGazQJ8OL6
2BZbE9sy0erJp+Z9UxnyOvb4omtBXC/jueQRFL5e2ZmJx+FAamEV+41Ugyf1ls2Syv4UtF4foDEh
tKwZoV7ycfaHcC7l6lFPZua9nzW8h9m/H8THx8iD823PDuiYIAyKP0JPnLtyQmg6X4qx3iPT9isR
GlDs6E8wa7WPYc7/HeoKaIDgtAiV8ZcDQBiGH8DZaCEbcWNbX34fewsivyq1eyJrDwWnzP9f0Fpg
A/k7eKCxMfAQ9DnH/7ovPCNAoueyurwfSyTJ+9NAncW+6Ea5Hxh/P8D9C/9jmbIgaD/57ED4KD6I
5gc806zbUqotgEfWWaoOsqhtI+9bqNgw/79Qx1dzASze3BC2HkXmx7FBy2pXnYf51XsqMgegI6wj
V7a8/P2oPvTW+HYYGgnNeGaROmBnBv4l1nX2VIgKVeUPuwKm/r2t3LDeU0XltXs5aeK5azO79ZUb
pZFq6HRAf7WdMZu8boleKmjw1vM/3Nc7ReQ/JhwMkynALcC18fCKMWL5653ZNv2iqCzGs9pcG+mG
Gyw7S0Lj0ab7P8eto9GewbwD84XDLlDZhekU5JB7b8kioAblMPoHEKk71wcTsR9bEcDzu1rJWYL+
IuDoOcuaCZdW2NdRSmjzR1W5fichrOnNnTK7t8OxhaYfAAHCyHd6L3xM3vuMdUiR5D2IrnXkgkCk
mBOoPHoOSwespoJCckUBFJXtobGqgSXyO3GKLH6tgKpm9iVK5RBziIW/wut7CVT/mk0Yfi5HCiXr
np6Y2bVItHs3pn7pXM10k/qFOrp4Y7MnmdZ7zjXQtOW52WiQUP7WI9rYLe1GlXTlIRyiptLpv6EY
yXFepL8TrF+ZHR0/w/xuMt6Ti0jOIF7UPHXoHoe455JtTbUz39h0Uco8a5Z2pM6jz9BUzYtHOp54
l3CdEn+4rkIbgchNMM4K/Bch7l4fJmYdPXkoat0CB4MMRXQ/dlV3DGHd0n1u7DZF+sa5/pjIZIjM
MZcEHfk5WFFl9p/pg+ydNnJT2w0v/TTS3PhcDqDg+YF1Ds3hVCjpOFXWOiTDf66UxGN8E4SLcb85
wbJO8QU4TwyfuiSpIPNX3WjZVOg2ddyUYW5Bj//Y9SvP9mAWd1Mr4hMQEyRPLPcgzlZ/FeauTsYJ
wRxtclNS5Sexol9bFigJfbuZzFtot/VaHIRPIdClbdS16gui4NjSafzeCvwdIyV9+jy8i1vOk+rU
FU0Iw/x3/gcgv+evK/p3Xt6XRvMrS+2ipqaUVAlMnSGdlR22DhE273FXWNwaaZOprTnBKUH18fPQ
JVZzapGfBmmR5+Y5WEsop2tpxBl5mHdV2t52jW5svgJh6Z8iFbrZkgTFJSpR3IJlz+qzYFFf+XnQ
jym7r3ir0Jl/ye0SxWTiCGrkxpvOFOFAXW4X3MaD/a3HOwFh7RDehaYcDpFfFDxd21KnKlp8RJ6l
ftiqZrKPVAvTMV5tr2HFhu2PYtDPuJsMt8q38tt2HqdjMAKNQ5DJr+ZeJ4ciMfGnaCgkfIOh/FmO
UhyaYsjT1e+6QyASeRNvbntaRUd3uhvQ4pIfr+hUqi46Gb7yOqZOfFNLr8/wMcRPmdQNqiWn2dI1
qYJTUdn984A/B7pIoKMxtbw+fzHLFn9voOwCMej2s4nd8mi7k33j20lRpr1leXc+8OFJTSPeK9hj
fALULOFRTV7y06EFRZ3lDM7T7FZFiYSos47O2KKjnX2AEELBYVwXfeONChJx0Jo4E1EiivhLObvJ
eg0zQv8YXb9yjuiHJ8qvsi3WdMZo7494CqIWeaulbtoEmsTBRzf+CVJ1Tf2G1hBiLXoUERf9d7sa
h7sF38TbMXT2FSqCvbeLqvZmIc2+t6N6vgaVt25KFOq770DZ/HSM8Tq0GrFTUM4P1lczSPOHtKwl
c0tn+z6OFRrKRAzQGrdtZOUWzdCg6+yVPgybqZebUOdIXG1nKC+rA6N3pdTLZuM13g0W281woxap
Tu6g3dugaZcUBPo1MOsPWwtx8R22zzzq6QDkieg5X9o5OgRrj0ommrrLUPjq6zogL6xs2u75iAYI
bkadRTC1h9TSnv+djnmfem7TnXsAjNS12+kTXjH1p7FYpzqrpyl/kXijfFHLgJxHLhpVlrOrhSru
j05wDBbIxluKLfMhiD8m7lg0WbfN1feqHbaU5lP7iteiTAf0sp8SmhvXaMvQ4Clb3CB59b+Pcbjc
7YpnXAYAgrmomPAGsCSVss7vwtjqUfk7dfJdWSRbh5i8sUqDapSPoQnrE4E+DLOk3KKryemLR/hD
cE5MoV7cvhvOs16cczXM4XfMF14M9fvLJtstRvG6y/hlm/+xMiFnFCZaH0lP1+dJJQFKVl/SSa7z
KbWLeb4Okxq3C/JjB83nmLwk3ZS8ecvgfa6U6N/mbd7+0Czwwxz17r0P4eFsc1KgFZXTM3mvlQam
m+8sNdbfNrvvzqjJBYwxYO5LgVKTs2whItlVGYNTBTVyNBpG2TB21bkOtHqBc+Zx/8hmHLvzThWS
p6/ghfIx6Qp15axN8ty2arvNx0oel4iQS3nelpfOt6cbpX3z2I1CfVZx7P/w6png4Mp1vvhry+YB
a3twvEnfLioy16VZvB48Ke7OImz9A2U7zE/gmOR6s5S4E6JQnzak2S8xkM5XucXTZw581PKWiu43
x5rgVoXlqUlEcEfn3fGyCUY+1hZr57HeVXfacqt/rGkNPOZLP8gMxop9UqaSX4dJ+yj4gm27U4mv
byFQ1aAWbf859zZ8DYq8RXId1fGVQy8ym4fNf0AD4dExUNZPS7hw4+7WwN/KJFvbhRz8EGmg9viu
DjxI9Pg3qLqZ0iYZxJ2xhvwR9Ke5oMbuXptJfed3cgDo0nlF/qQPlY6qy5JU0EKDwSlvkn5wv2lL
aJM1hbHvoSAhM3fnWZ4Lt0GxkRROhGihVzHa2LZLbtoiHg70l9FezvThD3GytZi3bFMyp60nuktv
wUO4XS0ZMdehbSZ1J7EVaU7Oohxz3fmyffAW3/oUdUk5YLSgih594KCeqryc2yOt6LW4bcu6R86v
sLU4Y8PjWOdoHsftaY1RhxfnPfWwD4lcsAqumbXe5PVNDVagmsyJyFyyoNVivgfFqXC00E7+2URb
j1jdbkLk9ZQXB+OQIt5OAATTa1BSlSriCGK5ICRxyjvoTlfzFEY3gbvYXfUZCyDhzum6SCwBblyC
nY3Yjk7FWe5Sg0Mxj4FGlZ7XFcygvEmQJlgib3AB8JPlufRg86QuXj6f+tWxtrOhAK4yO5KufWeS
akGQrOgv3EcN4fQAcW879CBuN5U7lRmKnfpmstZlrB6a1UKo5zH9nb20B/Cjtt7ZY4MbtA/T5Ffx
dFjDCocdgP+xZz/EtF0z7axue/QdtOd3dUHXOG074OdsmxZUiF670pCKdFVfdaUf9MfcBOa+LoFv
D8hdlisvxxH2gAapiIDqKuVc17kaaJPqADmea+jKh2hvL1aQLChJK+GPaeTXHhAhWOKrM1jqJ+ZP
1cHDu8c9973ArCufC1e7GSlcYfX4YewUOZNGRfiEVLyPSMx0vJZNRiSd+EBvW+VS/iAIyTg8Fhjw
pEEunSU51m3kRMVxcJc+QFJrzaF+ocnciqtKxv73fJ6/bVuRv+TF8C1PhqBKKRPaZwPn5Chioc42
h4dNkAgVbblou20Q9FyUV+rTXKgkG+SAjDGCPjqkbRu0z6prcD5R4ZrquPSJr/PU/phygRlQ39Be
zBdxT+cTBbizjEYeNg4b/zEZC+85gtikDuUMBsV6YMGgGSzNT6cf6k+D7Mb4OEZRfjci13/WEp3v
US/5LK5Bs7FJstoluW77SmKzIZtTLUXw3NW2c0ymor+tRWDdu/Xi37oDzdQ+H2mq46zRH1xXzN87
Henztrhuk9oRh/DBTmY5Hgcn7C/wGg2USmVEmozGXjD9yKvMD8d5SBOnFXBbIWrq6zFkcMcV8P15
E/zhAUE/Xp4r+n4HxaY06bbW6sIpz+FfhnVzKCvyC25BPHHqlCcdJWGmu6F4rcrc+QYiuJwgEyU4
IiXtKRqi6tGqbIVbSogPUNe+NBUMtZzC7RS5ovraGxfLt8Dr+6+eLdSNdj2xpEItVZyVgLY3YnAZ
dG6DvJfLnFGEew+4tembGbXrj7rwonfzmtrxzN1MR/mAEry/9oCyX2kKuPUe05YBAb0t70MhPPJW
guO+CLGgqfcife3a/dRe3PGtn2MMCrAzoUELyN2H113QlX02KpRa9MC2HhAzMpWTeQ1xJA2tsgru
m2F034qiwM7GbbiHtGqiIkaW1coMWI41UaxDcN2G2o0OlPAz2mWL4/umHfrpXwNVGz46g+fZ395t
XBIrNvOVNdX4gAyVdVXKwH3Z+QwnZ5trnZarheQ6WKo3PSPbJyJZuC1oAUurF4F3R0tR3aJ5dxqk
oKQ0d8uoh7fanRa84YA/Z0x5muXHNK3sFTYldZoeQFd/znTTZnzr5vnYVbN3A3ieQ+Uq0VZf7XTW
P5A9zuLURsV0i02EopYlHZkOjZBWcLRkCxfZ3ubgdRqb5ms0zEtWj954aGxL2hdtIueZrl+cwFYi
h/ttS2JIqm6Ifh1+abLAzUUuCakn7BKrv3iFcSwU0jtDcG3tYDiqYUb5AFOGRZT5RVtUfj2f8jmk
xdPWWVWTpKnjXsbOmVhl6ZJTe53YvnSj7uoHt3fMeKCqEDUhLQl77MaUo/NmPVs26nf/IdSewNnA
wZjhewOddff6seKlEicaefVi39dFH/ZJRrW9+Kiht6LF0CriwA3WQ0FfLW5SDcvcXw/dvIq2vl1j
AaSDepgCbHhsZlArL12gnyf6pPQgyy95Xvvo9g1bhfYOKiGvU+m8yD6cTjm5WnetC221f45yXGYE
+PCy2u6IKNGpn4Xt0hM6DxC4pu6gVnzsqsdKDzXPwbegcekKhjW9iRn6PcP/o7USvO3UMFbdekiG
Ygm+BCpwi+d3ENka9kYITiw7ZOs6Yhlu8XDdKQXwGPYuCvtwi37mvrAx1IDvvbHfpIPz2Vc9mMIq
0i4GgLOobEWFgZmnCMfTqy4AFOK7iYRyudhVYq9+pvNRy/q80XXjaXHkocd+8zDgm1ssWya9dree
Znhbyh/Wcd0xg4zjteLZm4KhDI8hBNrSu7G1lmsPP6qcyHGoHXJ5GgZsUFzog/2hhh1170IyI3Uf
EiLmijXXiFPduZyidl0H0OEZhLfMoHrpxvjHvFv8sjkOBiZQAnbQ9fHdRuoXH4XVhFiOTbNIsJZx
fJn4x2jdPP9MP7J9HWLdvFiwfibsMBDFpb5m7xxhwbQ/7a4my4KVX6j62IdjUhxmBX9mSTdX0hTd
Qr3+Yv/fJGU+PwLizlfg0+Vdbwus1txQ3yMfX9vj4LWQyOaEBvVgNc9VspjoWpLCRanXDaufLp2p
u7OabNiVSzyYDtHQXP8cNlvUhFa/FTjnxb4+TN62Po2lZRYSBGu3ypqoEEU1BMFZhf7UHkQbL2/W
Jha0905upPMU1yXuSfw9qe6Hsmmsp2OF/YbdbdZMNYK9XnEknVDjlS6Cev6ZW8uOuJBRu12Gk01+
Qj82C+vUaieGNOTKpMuE7ff90cdc8coZ++hrMzc+gGWE4rXPABTLgAoVX4hLi8Eptm92oKcvUDKg
c6RqgP2XwTXBKqfDggO+E+DWJafyxpVTkoffLzQCl9R4dXSM6rC5sfKxh2KvA0QfcP4QAcvMXfV4
iLsgoVVmYaiJnoIHEy051iVw/vADbGSVaQCztw0iBWtDJJ+0ZfeMcxtOyGiXx5WHfUBCGyfHCs7H
HxakKsDDasjvcKx0x28Ul6b4FFWt2rMuzy2vyGDCG+VHQflGiPTWszf71VNvPHEPfTP/mSuHmY/N
tkCjExpkZNvKJR1K27zES6AfjWoKhoC8jq511PZnw5pGRFEHydNuexgdkqo31w6gRXkwcHb+ZTwf
fWNQj/5V51cVtEkVPEuR96fJ7ewvoRqdNIngRxaq2VAOjNuaostaL2g93fLg6nFGbNZ0EPexXErm
6zxUsObGboOmmguDgahJmp2yQTWcDV20uic6V/R/bQ/B4yGfvZnQa6HDKFNcPqE9evmIC1/e4e3q
aSzTcteZ44Md5EN0gqAxfDZLNMGGnjpGCUsh+uZj2pDjhVL4DxJ7GAwf8aLuUnJqTA3DWiTQZGpZ
FgcO9ApGGHDJ49aCAKRbOAzhsZ4h/h08uy2Pm8RKMcUHbryGztIOh9kb/jQjJoquwMnVTMH6NSJa
zLfLhIz+0Mg5fsLRadJcLggkBUEJCtS6/b3XCPc2Lpo6gr4k8BhVjkhuMeJ039YGU7XFGsZHOIRV
BjfN/Y5aR3f0P6JkxQt0xFMpMj4+Ttqs1Zg2Kp7EURfItom/ymtuK8fFq2sKTfBqiWJYLiBXtQcY
0LeI3bGf+FomMDHSFoLIpYf5Yh8jE6wUBYmL2kIKO8AWDSvNz3WwKJNxbpLVkZ8fCk9JXMLomD0Y
zwBDe24vLnHTel8k7I88nXXz1Rvb/ouasNPgb7uBPcL0hMCVzyz5Rn3NLWPn5FaLlVlkHvdKIzsa
wV2+dbm2rlXFpsb/po4eJj31N1OA7SkVeX0HLhBdWcKOX0GMy4hlkIdvg7t5x8W3x6dZre51jTUy
no1zbPZszW6h9HRAPNE4xlejV3ThYUss/O/aMlnOXeDOzRMq3vKgALcOiqWOK6kX6CPpi3OLmU8B
Z9E4XwqxLl8SMTnpMOJaltMwOrZxI/6E7mwf/MCfXmLS/bPjC+ethxn/xeZXgtRamDikCF/QAsX3
C+SD8zBP7LpYf4c4PT0O2l6xdJx622EfbI9JbtVkNI7fnjkPVEeZMXqHOII0w2/fGemqf1WAHYd4
oVCRWCzjhVQ4/asVN/5zVXh+m/mg+tfD0Dm06GCA1p73Y9Wg/+pY44Em1RsHFFZqB3rzqKu+UNH2
7fCk/LH3g4epKiRRfozjnTOlJLpsyAvLWrWSXgON0P4BK4VdSGlcNCRYtfT2MhXXti7aaruGYL5O
L6JcTPAj6Py+vqr6GJOrTPi4lliHeA58owheNSwbem3wNjDiK0P7ACHQ2UgbsUMtM1WHyl6uNcab
EANDdwlOvt+Z+FvY4ZE3pXKom6UhjgWFHRzI8+BP4PMQ5jlEGx/uFzRp0njYXisabTYN9Hof16+5
GPr/Yu+8luQ21mz9KucFoIA3lwcoX9Xe8wbRdPBIIIGEe/r5QFI6JOds7dHlROwbiWKruhxM5vrX
+tYXvdVmr9swaMVAuO2acS5WNl2WFLiYmiReze0cgy1jkCRPFh2qqeX3bGEya3KlhAM0xkO+YUDs
s+8jypRNYEVz0Smx6WBhuMZWbyzVtR9VsQzGHPJbmmyORmGzJAuXJuXKcABh6uQBUIt5fSe2m+hB
uU+TafDaF6Uli+mEGUAwfoZH33OnswYQh3/lcxeXbjTpge8Nu78fz/06IWdqiANEZ3S4JnkZwK7B
/Z8dEkhlfq+TXvhSiWbNNg3fPS6WU0sG5Z2X2gpL2qDDc4zSLGdE929ewK/j7fUFYBQgvBusXVgE
734bDmbODJYkybzPxfcXUH13ngCoKjniNMFc7Puk9Ae6/UeY4zt+/GeAzC8Qhv8BmOZ/K83hl4KD
n2kOlvMtcfuXF+C/8RzgVyfZTx11K5n9x4N+wBzolDHx0VjYSRjkrmyGvzjyvvUHti17PZTIYXPP
5ov8QXOgVsDGcGQwmOarxhqCTYep7cqRt9w/+G2c4d4acl0zYf8E6OAZv+ZGeFE8/WquIUzorIaU
3w5nf3CFEHNiHHymRFBWBuFHLEUdaOVzi6TLjaOOP8y177AP85P0SVdNEjHEF8SqEnVtCWilgRws
0KkxqQzpOf5tOifMsNy6fBT1XMcs7f1jG/ePrFUnRomqfdetppDcUviAnzqp1c9m7063DSPKMmTi
Kz87gCnPIk2Ciz1Pznutt+XCjK9z3q3G5X8i3h489+TZvhSTNz0VlqimLwFlpl5+yjp7vE6Ft5Ug
mv1kys96XjT+3iXv88iKLelzdGYgiYoIiAEcT2iPmu1AsFzIojDyzRNoaPAKuypr7Q0n4XRtEA/i
5pf6H8qi9M1z1w8+HwtxdTIIY3KBfaoiVbgsvXTTEihnI+Rko9VtjLrFR7ta6nPCODB0/MXeONIu
XmXeses0Ynujke2Jytgan00zn4nXYHU6kqPJ9qKpmlsy+jrhhji1jzquwDf0gGwDj3R6YvKaboos
B7veLkPrPROhG/qIS6EWbBe5pITX81hvd3EAA46UjN2bN2zFl3an4Z55ZKFivytM/QuZqLF5sxPb
v0C1MB6ZEq2fcmHwWaQiMB4DeAyQIIEEPiZZzzi0BOXWhL1V6kMoRY+rlUQYW3ci1xB0m7qstr4z
GGbopwEmCk22NQjHWomzIUvTgmXKHyGK8L1CapVu2CpuUREIJR6D77LwLk2NBdZERa8ip6/i59xm
wxQ5ymXnO9ga06I0WQzQf07w7IvCUhGR7eDZUFrPAsEfBPKLtI1HLMG8DUhk5FI8oZb91AfW0Up7
572ZuInt7d6XWQhBdDkH9czzs3wQZzMxigW20MIb8tYPxWxxu537YinTk+bPvIDRaKdk6yU5n241
xM1bOVbsCJMYrBkjOmnlrEKg4rM8wTl4jVg14l4knpcc+xWaEiYi7z9zY9SirFj4bxvXQ8Yn3spy
X+Z530bgTAeI366GwsveAeE2BOHMn/2lzxf2uwWfoBwn/mbB/AMir7KP05TytSxd37y5rBgjW2t4
E7Ey9VuYse7l2zOiacNhGDTXOjK64dhsB6yWUT4m8fMoi96PgAEk3sYeSZruJSuud511jR/ZjHLO
ri6bt9ZERMOJOMlDgnhn3yU58dTCalNxzCys/tsYBYg4mZnx+xOr5G3N64gGGIT7AtJ+1p6/vUps
4So5lDOTQpBsDi/WaVyOMs20YJBI6OBhifrF3gR/CbPDamiXh36ERL1jzsFXSlZ0/UzWUoHrfg7E
OXA7cZ4lMPnrgMFfDhw2YbYDLy7bF0LjgAiqNtt7Y8kVCha5PNiVbsw7aDLl12UhvhXmLmlUtsNm
KdjTaH61F2oYxRnGy6RgwRdTtPLgxk0fmMuhg55yr4/+dDvkc/NmcaRZGGnYmnOcYpYJKYlpLr2v
ItE4JI4dgCxQac0u2KqqTqxolp137epefM6DOXjmy3TTDdZI4z5Hb2EeT4LrrbdVh0clN6eHgaMY
CpZf7RYc3pE+JM6dyvruU65ZhhWW3HSey6CcHnxYCJFnSg5sU46SN8MHcHF1W+PdVViswkU4NaYm
NsBIvgEuMqwrybAcsEN4oKoD7xOOaPxlBurNCmdE4AhNkJLHJMnto1Wvn+88pTFhYY8rCNPmgSes
xhvSB/aW5IVJaKq3aJNogeeFlcQqY5Ge2IvST9NIcse4q42mvi8H4SKxFGUuQq9IaUIQi7djOzJ/
sb3KOsWyzw7sXYzPpeOR9E/U5O10LoGXVrrZF6udxkflOPOxqeqKZE8ZRyLTnmSuyefUtLHGtwUa
eRn42Z5ZE7LWpBHdQuXh76YaJHAFEzHRly/ZnFCFYI1ld/YdhiHhkHvoQRDqrbe5yLszkzKiTYG5
9nUssrgicONsnBEhZW1CMN0oixfvwhTmGmt09cVxaKvYMkobSDfO7Xyq0ZOuy1G7NyrNnLa6YzAR
KvyhMy4li+L2brGt9Djowb4fXPKCbPU3XVs0V6MiUVhoKr4lOcnVBLQCmeBG3WNpeLWS0UjW8NaS
MBLPrEtT1Lr5FLMreYZbLR/Q5G5TZ2jvySYBvUk64x5DofdAs0Qalmrq/ZsWU8IBHE2zJtX018Qc
Jwad/uOSmO6LYj6NiwDmyZ5BN9It31vZHAa5zpqs8YCjDthcY952GHMIf5K+35bk5i+jWMpojtte
x3WARDWZCKcl+haqlyWh+LPra7YlXnadMGE6fsApXzGztIEN7PRKqQoDW1mqSDNs5DWrFZE/6f2j
SfDsLYNU0XErhPiqcluFFezc4+BaHNWjlX+YuL2fx1Kp697UP6xqylWDFtOHxjg1buTVcX/p3CXf
QG0zH+ZAs8/zlBt3WHn6rwOO9Q9zkIj2fer1crjLXBkn516CxWWIWTMCk68m5vu7lGAqsc0CAKxv
TJehZyBesh4fPJdpTGdpN1L27rYj7zUjwlVfME1Nl3bJGLWxrr9DdB7e4GDEm6RKMdw1gXMzqZHZ
VlGDFiTSCPTV0+LiSqdSpN6kStfu7ALPi2crFP+q9MLBdqdT01X1h0yxqXRE8xSrRj8VunyGCjDg
oec4hUT8ZpjJkbBid9HQ11/HMbEqzrkZrkjcGaizaXoGvp7cWHjgrpQnD74aqTDxTGw9uqG4aopm
si9j2tu8Q9+IUJCsEuQqLhRuftq1a3Oo6Fl6wc8jDhBRX+LcRpQoXdQcU9hRPfYFbNOy3Bi4RrgW
NvY2ncD4J1YQL5vEbnFSkSswdoFt6VNomo115ye2e0uSq38QEmw1ivLAphI3XVQs007z+uGKwT+h
ZpU8uXqLRiG1bGNg4YhQxZxdAPbuIYO1z2iJ5cfOJNy4QSqglqNh28a4wXWYj3Rpekvzh7UrLH1+
1KUczrj49BdN8sCBpB7IMm8AOtihw+F6uLN6ncFBjTS/6U1MXFa1tPeQmcshmutu3CpRZ2mYjsI4
KTtXd9m6pZexe/T73L+IIpmf9K6MsR9U6jlV6SvFQjEWJsNnQTENydPQrIJqN/XccTvr5DYwRyY9
MUM7SP2dq1y+h14yJWAOqwdL5HvMbHfs3B3OhAqbTzM5LZM/oPvnMg0Qsbyq3Dej7T83AW98aCb5
EOfC23VTG+dbbofjgUISoMdlUIR+DFh3ksY9zTt1F8o8tTfLnHRnYc82bo90Xl0lNoU2pjlZECWC
6cqrJmZ3Htebz3mr3K8+08JtVrjOcqAZpfzUEHA9BBJSYrkurRoiwWE5zG1I8LMSUVnl7jbTWkIy
OJ4jX/nqasRtvYnnso/moV17ZTwIt3k1XC+d31hP3N+Kqx5BKx2iKpigGPeZRc2JI+4Vhg/3voSO
v0QOCZ1w6HOWBfVofywMU4e5gHTCCaSzFixco7hJuMkmDPcuddF121kVVDflAALuOpYBV2ZJhDqs
Zyt59aqhFpvFQmlEs3hLlCHul3jMmYgn6a4t1HxxOse5buuU0o2gbbWNEg5Cpyj782S0896vs+nW
cPruMR2rEz7dc+Mv04asc3uDo7f7BBtE3yMAyZMxOPFeJv4zC7Vx53USJ5K07/JhZrruDEWBVWqq
kvLUEUAzdhmmtDmEvN3kRCtrkP6VSdkTqcHm41SAnODwMSGiNDWRTavGqVlb8XIpMNlUn+Zh6m61
YF5uyOrKbItI46iPft88wlKrCy+UmYKetq80Lm5HMpf7liHyvTDKl4ahbnqm78KLL1atv/dj0FxN
ZDrDzOdYOBZjFvM9gyGjAiRPvfvAxGb/klX8SY6hhE52S2C13TkZk1cy/k4zviypLSICEH7i3SZm
095y9zvi9a208fD3Os/vpveAKb9rs2n3Sf6wT/9NZgGyb8Zux0jCmdetk5PlLBPxD7Fy//snWn/R
T2Zv+9sTESHgjgAJxfzd7O0zG9Lakicq09J5Z59KzKmvW9ZqfA245shOs3IWE+vRhQvu2z99dh/D
PbEXkj+04/4OmAK5aHhMZ8id5Y356I6jvyHGPrOUKOVBTBrP6vYe60FtrFjB//2TG79CYOjW031c
szp5G8OzCN389iGPOX1FIpbi0GGNxNE7Jsom2Niaj3XesYMi/cCbH+yZMrSkYbmiy1qxB6gTr1xx
S8bj37+g1fL/63dhOT6yNWwj27DhXf4q7iXBqGYzYTPjSWkfmfAEF+xP5uOCGPo5kEa2//vnc34V
89YPwLYM34HW6Ok260PkoZ/VRMZNMy6PThxwSgeMc9mvgabmMND6CuK5UJ/SEg3yOhl8BXpcusjR
EUG3tLrKnbzkdsfVfOu2tS1vKjkY1xVFFNhJTSN4HtIeel4hOJLsBSbVceXffNYT3QpQcex+eTBd
jel+OxXQgJRib0FD0LtwhrF/6IwAjOdCcpLaI2wXlv2BpjpKaWJ/Ypee4Ixgg5ewAS24TTwSCCGs
CpDr88pB/+ovQ/1gBQnbOCwK/P+uqTdv5Cim6ZKwIdbWG6bOrtrQ4rtF61S3w9Mtu72fCHmY18DF
jS3w3uwl2QakdsMXb98EkMptje+Zt//Im//fyuyfobPmipH51/LmTVG+p6IinvTfHvRD3gzsPzh+
gROyCw8s2i25iv6oyTR0C/K263qOZ+omlzZ+9Ke86a0/IVGEf9DkjPhT2kQQNZyVSWnaRDcd2jP/
RJP/olHTC/rjv38BEDm/XVxQTUmxEaMxeAWc0b8L5XIo/HpyjfZkM4jfWNQF9Wwxdgz8/TsnrVEo
HEZJzDm5TzrbQmLUeEISovsRADjSAxe/ZqF/oAqyeA/kwpKPxMnLs08bWX7bu7X8MMjMe3MWtz6l
RkLN4pgTi9MKucGnnVUnc4qLnVsEw6Yf8hqNsNWgdTNfuRpm1Sz7ajaoRliGKFlAvuyqYZTB20BE
zj9gJmRl27ez+zqMk/JvZ9PxNkDN0ktuit7eWi4TnYhTzM/eh15LXxXxpOogJAvJHRO4wr302CMg
SWlkGnFysEmmJ5MKSN8ar8uUi5+381FVm2vRscAI0wlALTuhObfjQ89EXU5bqluI/p9qh6ggzj2T
eLFD1MermGeaC9bYMC75PHGxzJUaMdlD3Rw3ahg8IzLS2NA/jeyfx2VbpBmwU3YxnbOQSwDVRL2V
og4H9o6qkXVqn5xPhC5nIzum/tLaxsYB2rTQZwlBB1sR24qU+BW1C2LJPy8xSpRTYDcmLb8ZEpER
dzcRGvZY/GJ57VW9dtRJdt/qGAdCJpoW1QM2BX8Mo4+ppg17zPHmQ6G5Kgutju5DvGbjHUgjZ+cG
zfzuNXmxZcvInnXNtGSCpcjgV8WF3QS6RWdXVAH1al/UQ8u0rRYuK9dSHX3GmZ6ixKiqWBMi4SQ3
jokvY0jLiYFaUmwISlhoSwSyOho+70CwVC9xrfVNWMQ0e2D+aG7K3H2CMpTcWUnb3VKf4d2VmJDe
wJ9Pm4ToyUniNbrjeBC7eRDZc9lN8W1pivkFByuzp1HR4RdjC8TMm3nXQVDEz4y5rcOUutqNNiFR
hCjvwY7Fo3WJ0dQpbtWyZUPqvpifm5YGIA+R7qklKfFAOKMwiEswfINh0VoTbFTpTZGYl+VYS8YU
YUCZEYVedX8kLCL3DFWTZ6sR1jlYPG7iRuOMj8CAQcn7DY2lIIxk+dUYbZdVp7c4E2ucut7SMEEQ
hST2LSBH7yhH5zFvPbZ3ii2GbU3eBQ9HkoQ5FNEa/40ablSSmGdjYg1j2wE+AjRFK1RlJ++IFdXP
kl6J/RB7zcfRTF+MVg4gGnz/xDeNQNRgcpq7xr9amDHeseJLTzTSyMfEsJZXZSE97wICUZ9yIfWz
RvIOR11reScoc8EOqtiXIWjjg+HoLRvXgrsh5RsPQeGrV93Ny5cZUffFGvsMlkDrFy+tVgebseAM
c7Ueay3R4G3gjf0ua9wz6EaXwras3OfSmm/qoHZO49St9gsEJxzYBJpujBw35eIsILwcV89uazKM
qxdignOSYGAYDKS41PEZima91m1YXM5bMaomGuMxXT+XHhBCudYS6rSxdOMJcym4jdkxn21woje9
Jp+yRT7kjeZ9RuYhVYUVVieVMzJDisxmyR/h9dvnirH8RScRE7p5F29ImxwDu/Ou5lG2nBqqe1hK
v2TWoYtPrsK/1YyLuLWYZnyELobd0YCgjwg7NmemvzYGZNoV3bakP2ysWkpTliC5sk1DvfVUm0Af
g//AYgPjk2Egy08oKsBu37EsZF/KcW0oGdqLqWiKddxxwnSurFczjbODpXkmBSDjOF/MqfE3Nk0s
LEx6k0LFwk7h5beTtpOCZVXIilXcoe6x4m16I9giiBnXQ5ex+Kc/WKdqqSK/dzDTfsJZZCOGAyix
kGJj/2MxVsiiKlNMN3wwTFviE/O9rcXs7ofaeVeOXGXpmDX13K/hMaXTupBQ2Yzx0U+pfh1t/erb
pAFpsrv2kkAxGVfWiHoBi4Qi1vQoKkLYYTMb/kUzTLzJWVdwiDp4xPXpE8149b0xumu/QszwK+2S
KMljsC1Fg47Y2tNF602q9PzG/wRLxfkqNPtz1rQmfHTyZtFKE0EJzbctkiknuVZcjWzhrwKrKC6p
TsMmgYZPqY5zsdWRxVnRPQldPlCvoke+IXGPoVqEAIPSXWYYDvLPEty1hhRbzTVT0Evd2B0SjeLA
Ykjo3cnijayl8YIt197niaPvON8/5Uvt34MdHqOUzrXHhOxYaKSyOY15QQ5Cxk555QiETqerkXtq
PTlgvFvtSpXb7214H3ccudWm1oPxNpuF/NxOJB5DszFKlj0oHokb2yde4bwxR9jAwmnISpWFUxGW
1SjxM2dxNGqMMnqnT5u50zMiPQhxSARi36tJbWy00jdTynRT+gJJyCs+9J3xMcd4ES3cHi/DWCUq
dLsxvbX9tiKOKorNVKXkQq2p+2rg8NgSPVAPORjw7YDpYysSv9jZPt2kFgmJh2wwunUi0O9ht7S8
ikzeDEluGdscUhI7d7OiYlWm2nFUZ5lRvOjUtALrdvkBIVztEoAOn4FPGVtKQfleff9D6pdfZJF1
RwvDEBmLoti0Dn+KHS8IwQ64hyHr9aPOTHEzZLQGkbEwLguG2E8B4Amunam2751aC21MFnc4yqyT
2eVk+vq8PSoWJFuF9HOwbNHtvImVlwYnY1+Y6XDOKgGasJyadtMbmrbR56WnKApN0vK6+lPvjICS
6MzMVEL74py6hxGZFzvX1WKPDQ47ok56E5g7YTifWr25U9gx0L7p0wIjvOcSrYUzTiIjI/GVpgST
GKqxwih1TGq6uPYaeeettZddu1/GSoVkp8aNntb3Pv7wU06JyA5XGpWsAbNON6vZOaXpqVvKBBxe
eWVVmnYfdNO4L11FLHTOE0Sf6k4r6luApemur8jnLUzsIrec74JBGUjS5CuZw4lNvzT1BuOND8xE
Gft6QIZKNM+60egIAzSteY+9jY2RKiURET/70sautnWwFYVZRSu6mTUON7KCdrvaUncje7xPGXbL
radx+IlOO7jTUN+5GlVyQQ85fnCUEVFqqI4Tu8tDXuO/TLLFP1X9fEei9gOcwqdvG4T/7KX+zV7K
gOj/d1up/8tqRdS/7KS+P+TPoiM9+EO3YTqsdgyUB4eN2Z8bKTqQkIbc75yQQHfRCH7eSPEoH14H
kIZfNlMUgpCJxzRswVAJjH+0l4IA+qswglHK4XUFWFh0g5f3O6mkanEHTtw2gfY15N5dbKl9xQLM
d1yhn0Uz+FCwuXD3CwtiqHSV/kJ6G5dXUaPpPpo0p7HuXw1VJkovIWoa270Bprb/kLm4X10Q6zll
Yipqxok4iw3JvcJCHswHaqpHjdsKzJtqOOIpr7oB5yluz765qsuZjr1hyHwMtH5T067Eckho1aAf
88ydr2Y7jh9zq22Iq7uv2tobNIrBW2GiAD/ZYVzyChNblU9qLZ0vzEcuG+z6slSN2ro4QXRiZBds
Qc2146ak7ZChVulO9wuRgHe9MbGB1303XNEOgJjCwoACJsnkjTJ1K9HLfT0N5X4agEwzWRXZ0a2S
dl2PsyWMulmHUKtp2EDdtZiJ1jU6mrSVJ0+Bc3FoYiqc8m9tTiQn+MWYjGl5wmkw3NDAXr/1IyVQ
47c+KLFWQ6VdR0tUQoxsirq1PAoVTW5ypx1e+7VaKl6E57KXapvpOAmgRiyhHd4o8QNlvlLQ0IL/
NLhgma4kEEfXpps0LZMZQzK/E8YaZ4dOwO6eJX1WjM7RXXuwgnyeLiYKb0eXt932u7ST4AUGDvUN
I/RZv2vdYmv2Wl3trZ6ZrCuciR1X3nsQtHJWGs5AqDmkP0KKDeIU0xt3qA6gpNINCS9Fnx6tetux
z+kTTUxWDjPpcz7opGmcyOjK8avH8ux9wTmzKxzOxl0RZ3ILF2t+r6jHMXegLp29ElPzYNS0bhVu
X74KcBVhrA/GGDVa0kMEThN9Y0pq66pZbhTLxy0ZTMa8GBJZbejGZAzbJClbNl1EvVJPBjcMVQgM
sxWJFL5K2nnjyQuFVRVway0WFVzty896rokjNCMTtZq0Ou0/8QfOBrLQMEuDj3E1GDRU4yoq9kmP
/hmXmTqOsvIoEsRVHAZ13D3gm/6kjyyGh9lfNnRD4IrmDMiOwiPHQIx6GgL6J33jUrmlfWLw47/B
8TH3Q5e6ceh0C3YnZzCJvZqVZm26uH2EECCvW19fPpZYbDaQGudn1tXVIV4gfESapgd52Gg4iIdG
625mMdXXrQPkNOxFnmehSUM5q7DC37DhF09uwmZ41IL6SIQ1eenbNc6O97q8L+zGjDrKGpliVPte
gDCRXsyoFoaejiDTqmgGWRLsRG2b0Pgd7GTnb8kT5fTNjaziYEexTfmlNor52AbUdEwraGeY5iBk
fvsp1zObfcxIlRa5w8PKUY2Ebb5P4/zC6tmJ6PoKpk0wmOxwN1iY+R6Bw7dpo9zbsSOQytMC8lOz
/K5z/+eu+G/uioQ+Udj/tcDIvEnI98/iZ4Hx+2P+ui2a3BbX+QSmR1qnfDS+P2+L6x2TCQ3gHryw
iF9o9T9ui7bxh26YqJEu4A1wXj9rjJRrBVRowRSD3eetzsp/oDF+4+7/NC/QabTx8RTSNsvT0Sz0
27xAr9JGBwusnTnC2zzYcaHxZ/XK/cKu5SnXKy9rw4LbaprvvY7WHediBWUF3qViQeH1oSNmu0lO
a86lsK5q3E46uVkyM4nOht8vZdbtVZH3U7wv/MzJMvwk44DJcOFvY3UASslzPRFvGtuFC7+q1JRe
jKEiqUCQ3/c0xDSNstXB9evqBG5oNU9haslmIgzxoL+ZtVzrM9ye7PEDZQBU0mx9Oxm9Oz+dVBrc
UNHKdfebLld9E+mcb4Jd+V2982bcCDCzRev/mA7956z5N2cNWrqB6/xfnzbXX8b/c/oiuy/zzyfO
j4f9aTy2/mCP4noBizXOBJSZv84cPMl4jVbzOKw/jGH85P+dOJxmOLSIEJmYgldz+5/iPEVy/Dod
2hm8KkP/Zz2amNR+XVAy+AJk5vjflpSeTVHCr4MvnJR1BRhTHghGMp+vJSScmeFPcSbR65wnXbbD
Q+J0MfIUa7Ej5Ur9HcLmUO2L3JiLSOKjghFRBNhaY2XhbZSYuRpAEUkS2xmbr06niRgMRQJrNVom
bbxOCrppNgbQhMcJWs+rWw/vpTFHzPirx2GNi/eFWO6gRj2KhoQ3uazCDgU8feyIhofnwcqXKzXa
Divf3Dfu6USifqTp9dcApyzmQi0z72sSg6eO1PsWrQY+QcMDR9fTtpzx0zUNU/T9agauq8XUtlWn
BV87E5siUBRrwoBdLfKYDMTa0FaK5t0ajH67jF0QLXaXh98+qAJS1UZ66Ue+/4xbdMejR2OQqDxy
8fe40AMR5ZU6LtRCR56leGDn0EtAMH4tWabHqApehnxpk6gufR3/Qr9cuQ2rB6Tq5VBB9D/0YyeP
g6Z4dgMzM+sUOnO7rA+iMROWCpkuSie0Ae1yoemshQmyr6qN2STam1KW84CthX5JV1nGRfodCct1
Zfk8w6nzEeyVQeCHfHhICJjfVtIRdOM3pfZ1Sccgmqw2Zv0ypZ81hO1r/JLYt9fXh3okjxzZAKpy
/nk0aZVGAqgYouCYr8edLlW9V2om4e83yy4TfMidP/cgWgeVhl6fmYwgDfQpjD5FMV5cM07TQwx4
Zjm4HTVbu9TxaOK2AOcTDqKUNKwBlJ4WWxwHiYEahXlQuz5LzNdGo7d2ZzSzr+85VJaDQgF4ZSOC
mKC6jqHBqrV1nZNtiSU6D6JaStqOrPIhbeT82jZpd8FuETzmy+DvUsuU7gYam8XERSXnuLVTkkyU
S5DsADPf8GX7bk4hd9E7WTQI3mS+OGgEi9nVe0cPbNYvbT+GbtC7OL+b5W2pR8wldhfsS0zXX0fX
GqmFkBXNAyjcEx2jJoIy01doeNdFKfhdgSrJYGJXHk2sFkQds3CQAhpEDxHzPq6C+Yr2L1o8IBxu
ll6Pryq3ygi/oTbtDZoHdsQorWfQ0cWeaYWGV9Gl5Hwz9Vnl7wtD7x56Yb86fakuFY4P+lahfWDm
QZ7O1aItDK3LqwpgRM+o23XBTi5xZHtmsw6x6lMS+zbN4STtKY0vxS2+vequ06BRjyR6b53MxmCV
gHiGepxsK4/6j8Vz+60Z2MsptduC4Kc5YkAvHetpAgCP4Wr2V06Cy4mKbIayVXBimHXGQTUywqv7
YdquUzfYEHG+UA/XaWCFrO5KWUF+M/lWca610bntncTcDkwZV4hEx/4kqcoYi5EW2JcyaDPYw5Pu
vdLbk11hukw+zTLPGb6Ko5z56pcmKDY1i6oRZ5ogvD/D2K7Zqure+9IGnPRaLqf6kEA+ekCjavLt
OJARVulgZSEq1PI0OTNw/7xNrwerkadFb8i9uZBizNZj7w3OWPTrrknXtjXJQswVZU9zPI2PW0vV
MI9GLhQGY4KRuJnrzmegceIunZbuJeD9W0daeqccd61Y42FLgggf5ykpRVcx/EBu7GGnrI4dvVUq
WlJPGMwUGxnh+U8fXWj0xDhKysVNWeVnDFjFHDFFJTWRmyRJLLfpIhkM0z6FMxONc/UuFmYrMiO4
KGI2zpSAao9FQfFWyPZsWaczVIR6ddk3qK6LvJV+UZy8msyrwHF6Z7oDV6XOVfHbtysL9t/4K76w
4lQy99zgXzf072dR43LRmhauUXKs4LmQR9bDwaTsKfRm7jASZ/J+Srg8E24wbU6H0bw3nPWJ+lRO
mxoZFLvnUCxXoz6CBknXfdA1d/v5upNrrZKgOGwLOGG5kog25/9Ib3Wf9fO/WS5ZiAh/q709fpne
u59XSj8e8aeHwfqDKyOdfUZAHuv7ouevPYb7B9tjnHXrLXPNb/21VCKHBT6UHxE0omrIDFjg/Fgq
mc4fvkV8C0fVukFAl/snewyDVspf10oGSzTcYXT6sO7CNvFNnPsJyqz3TKtbIXTI3kRbBw0LbVfO
n/w13roYGpNHzcCuUIni3hv9q65rhld3yNuHRgDz1mV3UjO3uxZ4z9W34OsMOT7eDyJPb6Hba+/K
8yiiQclrD7YfozY4jpl0t7UHbv3OtjMUPYaP8NiP0Nt885oLqS6eurI1oWFoxSIs7n5901wx2dU9
yE0DGfuJjQ87ffJPMauQ3bIkOjSOZpSyfaIyqWfiCx+yNBBMJhfkHOaCfuulut3t0tI2m1NvJxmg
phx7t74yYOc52GYEaI2TJ2aGlVhPW0ahwhBMJWySZXvf9GbnqDJBdSwVCpmXP8azpqkhhBE1AOAU
jnjHx0f/q5sTbOG2OXVcXFKhD27kd16mcwHACQdXhl7vPfBrIuhQIrtIuUF6jnPSLtHYe1ijBj3P
BzjU+exvfJEfqgRv3lRnfUWc3+qRLSd/O+q+8zaT5w19K0kPWZc9JCWAm3BSOeUftTjk5vgMEZIc
B+aR0KBg8lCMCXkseHXpC0inMdnOQ3b0/OlK2PKcMtd/6ZKq/i/2zmy7ceTMuk8ELwRm3JIAJ4nU
mFIqb7CkVApDYJ4CwNP3BqvtSrv8u/++74vyqnJVkpQIBL7hnH22bHKxv0/IRMrR5xyPnZ+0iQgn
B/UGu77bQoMg59DEiC9fprEndMwX2Qkq3EecVm1oRnJ4Wryh24CbKPYI3140E2MBEnO1x8eKOsQo
9+hrHsclfQGZ9VXlaX+zdBVAUxlflqQBZjX0b1XRnYqxKg+SlE3WwGYwLTAEu5mVdl0TvEZswD0w
N+oAQ77w5MG81moVYKrxFzsWh/Jhie6Vj4CiW/XX/oC0vDMR0qO43VujJTbTwryTZyGTXtQVMbvT
raXG5BaIQ3v2emWELipOMjTILSqnxd7gDk62oL28D7ax474YYUJ4ScOmvJ3nsG5s7ZEhqUVRG/+K
zKi6s7X+ye7T6YlchHyv10XKXqlOD6VE2jCkurMxqxnALIXZrkcyeuRcSHZta/i7uLCR2Seavx8d
9auyZUEqFagUxBdUajFRN1uIux8VG7HtaONKiWNWdyDjOh4ISO67sp+39qIh/NbHPGTzi4/JmJ6F
XZLMkMsXLY+OC4XcpuhqYmh77dWeI52owSk7JY1N5kFtpV9rN/VjWNxtJvpNJpWFf3FsSIFg/AoY
ANTRjeP03PED7gfkUIv2VSFiQjFA6re9qVxPj4M2G5d5pelpB0Pqw+MsRuU+5Zas7x3dKEqGBuRQ
1J7h7MwqBeHiRm63FaDkngGY9uygBb4TxPXGqRzilpmkSTQPM+ASbUSk+p9D3mCKisbxPlNSbMeR
yyL2x1xsvGmaP2E16noYu9Z8Gvq0PDBTnhWLay4tYsRnZ2Vv8WlJp+5U/yUYyUOboETZOdMwJF+g
HqiBQWY0OOn0plYXw7O7tw5D/WisWTXLjtmIfpOUfkFElVezXtawKACQ3DRSHd05A8KDOeU9m6h+
Kz2muDYZyZs10xW9bswQ+UK+B+TE5NNbvk/kh724KfiIPNPeuaVeDfg7DGVlFRZND5eusS5gOWVA
/ZNRJAIF6zwQZ0advhRwHNbBv52ejXbG/1AMixkQ5ynumyL6hhJCsslDtXtbW3l1Ej7iNdccb1ku
1I/QF7Qnid7i3SjsNIil32yBctAED3HCbYxoxQijqiRoOZ91YF1zFcKGAhnS9/0lx4FDJEVa7ipN
n/fteteiSnEeaKTMXYShDwBVnuzdfLxHK5aG6dzhA9MTg2AkVouNt3ibGR/AgzLnN5yc9sEifeNn
a3QPQG5ZUQLTALnj9d+d6wJTp+A0zPFo5aDy5CBM+mZR919RZYHE1XrtZh7sZOetK9OSaIqwriYG
4rG3bl4F54E3X1LKy7tF08fznDKULufBDdKS3SnoP24t1xhCFqjxPvEh1MBq9rZ+Bve5Fu1+1uKW
M7g/+wOn1mLO8wbpIFciiX7HXrJvcBTdbCzU4wBAdyOxk4bVum/mZ/MPzTTtyfzyj9CXMJSJSQd4
5yOPX3fXumayvVr32XUnmyC7Lrl9z+ie0Qn6genJOWis3A+6vjn6Gr6LVqu/psb9BqGjChdExzu9
q1OqXUwbmmXBfCynZIfhaTppsvlcK8q8jwZETij8FwUmJTfc8s6gMkHRwhdb6nO2U+veflk3+Nq6
y29qpPZoBOkZY1oe/KoA+WSGbw/H353dOGD/0ASUqzogkf0PgyyaG7vG5CFwgm9wI8/ITDJxyzXQ
7btVXKCk/Bqc3N9N9fIjhi8BQWeVIWSzHZ2jSkQGKx2OfrB6H3BT1BYodHsfSSPaJquSAafJyMOd
SG1Hj99Y4n/haPll9Wm+y20KhnGyXgsYlttCds1L7vFSS4tmr0Zp8QXZFGpJl6Gf4xDFB4OsggCO
7ME3qvqoXwUXsufXgA5jKCI94DCFeVul46s3VzwwevMJyw1CvHgaNtnkca47af5hrCKPYpV7DFZB
gtroAmv1tXLXZUtxawhDhWR7WdvRnD86iCW0BI67UXiaNwp0WKjTl710urHcS7MjS7BcUNlvEncA
W6lkzccfe5m9cdvL/tyr0ntuXJs/i6voqR1gF+YT89ncjx8G1lj3NkuiNzdznmzHAayXxxcLMerB
xHxvsvDI6pChGL/oJE2sb74t1ZZMvhZBkRdaSwTBuulczGUYVFBQrWKe1BkJA4wr49Mup9IOZr7n
VQdT3Y1i6Q/6MrkHd7K9H0p2+tuAiIjIif5u0U0tC0ea2UNW9+adXThjKBZgnJysNRYkO5kxP44+
6JM1rKLWi8cGaMWjwoGrbzk1NUoMg52PbXX5V9eaHjCtLsOutDBmrLC/tc6+roXNLVM6PQ6Ezl/Y
oRk85ufYfAIHsrrJ9Vu23Nn3zvH1jzJuTrlKcIZloAG2TWx+5k4H5NFJjZ/o3lCQLhYkxQ2q+OlY
X0VmqUyyIaAtnn7qqxytvgrTVokaGE73PCZavvdL5x4R701Uub0bgNqvpgMc0ozL2Rndzyh2i21i
dO6dz9zl1YYQcxZk2wQoN/PQTgnarIljgw+AoSqserN6bE2rTcF7Yj6epOHR3kYVesoeT1qwtB4w
MIw1SPxWsR9JaiSOriJAscoByVrpWAQ72h6Ff1TsGzdPXznN5CuPuOF7zgThiY1AdNAzNz3qNjvY
IWqcU1OO2FlTDRYfCSIqf4mNNJtviEIsNv6StCdfW33Mia5kWKe5f2IGO7JmnoTcsHKvA3S2jA50
dJP9MvWvurcQYlmr8eB1lX/Dsq+/s2Joy5Vpw0ZwO5zrgdmQDFqsIACqq+UFUx78TdqHTqGg5ITd
0ieBLV/82nQ2Vl7PY5hm3A83JNHgc/FWgSkh94vzPZar+HT0Jp6sZHT43IgtElXGIhjsLWk5F8eU
ydvoKkejWBmecggVIkDNq53zckrfosIud23kgdYtlik/IkXVgwyWA+A4S2oeNAd0tno0RQ+sR8rD
VHC8toX/pApq465sho9yVexqiZvtnH6Jb0DVoem9ynv7YiyeRcKEytRdY4/nWt5Cs2ENXPRwseIm
Z4G85IyJ29reqVVJnFs2LFN7iSD9j6kMx0ww7yoXxkuQEQ+DO8X32Bmj+dFzs7a6IzZksgMfbBa7
crx7jkGxgHvWx3G/GQbDqLtPys3Uw/Io3UZZT1UfO3DjKfAqzwUSl/lJ4W9UNo9AWsEIb50OXjoK
bxC8Zpdwjk4eisuqc8xDnzj2q+EhLAoWBRrs0EruxQ98QlGga1kU36aoKrBBzmDoQsOLVQCif6y3
UnMVpw+EfeytWn0YOl88gr6mFxCNtl9sPOtjP2t42Nr6SFINSt/eTG+xlqQkTgzuV9FW1s8/AH7w
P/psPxX1cyeJIn1DezJsC8tX5577ceN1+PADB9DSL4a58cEZCkpw0Sfatklb92XJlB6i8liskIQ8
ucNLv7zrFNY3CkToJqc/ZjOu7yte9nQFA9bYjL4nk1U8Kpzpp6VO1RZxSh3YiTBXiWEBeVcikb1y
AvVGdntiaQXbhqy6WPCZA8Y51reOKjLsp4mhfCkyXHFiLc4R2k5G24dD7h61uhwDsPjjYx+n/q4l
uOHdtibrUEhYypFE/ppXKM3ctEr2aYy1u61s79ZMC2cFfyXqA5/iuGfOBBE68QEeovzjk+AJgERY
G8Z8aETeUEqBTscqx/wSwZEKuW7gNfqTHTYzu4uSi1LfoBlOQgXaL/RzHuMk/skfHTX9pvLd4qCl
kYlIjydJqZzSY+vYd1toEzOiOtPckaqMysB3tbsr4RAo5WGYGNBOcii3dlyaLRU4vMN8TpJf4OCs
cxSR2xrUDZjwiq0HxDD6XdyHMw637dICBmllP/LQUfND0uv+ZZxiicMzdQ6SFWloYBff6F1VnVJd
3HteASUB+VGFqxy5r1tmiIFX4mktGu8itYZMykKXocgjC1isb76hjwffqFbjUZEmxRukuDdE2xKL
ube37EmAM67HT1Ibu4OX6stxLog7FDSejLrtfgD6GK+yf5Ppgxs7zDnzdzZqSTjybW2McvpeezQR
sRfMS/NZZvn3K7cxNwa9Coe+lNVmMs3Q8VAR5qkfnbIUcI1EoY8fVHdwpM8MHbVyyvKwRbg8xNbU
3KKtLblaOncvdOkyILXS2xyW6T3zB3D4g4UNBBGGPl66nno700eg8+v4Z/K6+oipNGdPBLMhzjz9
lypp0TI2FQekV4ydtQZ3ee8yEajbn30y9Se3SEkp8qR7Yq4VQPSsj17tAMM2NHkycLQ+XAmTcdp8
0K9Ris0lOD1ryYpjOdSkeMdjN78ifCYZY1RnE5ToC6XUM3bdZuu2vXuTsGzYNtNC4Vglx0gtDS6T
QWshuQ4/fNGclZjNDXb0F7RZwGZHy9rVDpkBCvTVazKJYmOyJwzQZI9bhN32M7Ff9sZepAF3LrlN
NQRQbNcOeLWfWkd8sfOk/oNFvinjuiStzXgzE5EfzbG0Pjs0IIEet2ZQa8XL5HrmV13DW93FhGqh
iUedvtWgW7Jbd4pHNkYQ+Ko4E1CDvejHqA8S5Os4tgwoZvXYoEEHI4EnmrETAc07u7PmlOK/EPQ4
E4JXVgOPJQdWv6lNu3L48SIXc21LJC93QhE6umxPIEs3CqzaRKsTBXxVtXuWmV3fjSihYuJe2Z4Y
i0zFhkCOvAxHUhG7cNCT+mKQbXjkb/hXsvS+iA9+tLKKw8NLk5Nf6/I02zxchal+RrIemr0EmxdO
zoBRBmomSNjpRGohDHZdvLQ8kra5wIIyGOsssC7j7ewPhB4JZ1zvCaq8FDW3YVMJ/4EDhU4/KtB1
w8Edmx+xt5wmLvhtTiwN/HPtDDKRWie3mxBd4KkWWK/+pIYCRZ1WlS3eQkp9VMuTAf6uuW3j8cHP
cCkWKVc8eMAQKMdDY6GcZTDjgsjHjvAnU9RdCu1OGdZrKqzupo+0OlBgQLZxbpZsEOo4TKtCHKaM
5qy1h+5Y9rHO5AICiC7tzz+5o1mE9Dip5h8yhpVqkEa9cwFUbbLe/IigGD0pz15JBXgbthiQ1C+7
c8cnzj5kwo4Na5J1x6ltGEaRUwo/gRx1kJMacxb2o2GrE/PpO+XZ6vNuG0G4hbtKHOcAOUisEQF6
Ik8Nz0fhL9VOpnP93gkg3rZnmUUgtWX5iX4a4R+Lb+29cor2ztVz7ZDxwGtxz7jTAQt1e+tKWiTX
9zJEc2l8ajUrDqHXzx/UWdxacV28p5nw7irgTuelT4afWup8/YFF9ROtOzWMoR+WiTgKOyUWc/sn
GtWA7bBc2smr6o36E43q92a9GjVYgl75qI6E2lobadlu0wUYcIppi34h0i7k/trjH6TUNBqf59j+
9icsNW7m/sB9MIdXYqryvRflOZzwSWk8IaKst9Dh7zzRRe/FVGrstiOPMIMVoZrTpGs3yqCoub1y
VJt+JCPB8vtpd4WptuhAh5NVcv5gZWZntv8LV1UWjtiUNDeUdwo4D6vkqn1pa6u5aRrPw/RRub6O
XYMZ31xnEUq7TLw51UTuk0pt/XnkBZzAIwDvdZAs/7iN/w2J1eXqabZ6rZDzN2WKqL6u24AHFvHn
7RBTMc3wNYTRF6zo+rUS4pR5+w3RKoesP9QE2Wx+57TGGoQJrOXTkz3UPcMnXdbOhjbM45vQQAAZ
XfxpJ3hsgjKO4ilgpjY/zvBK2eFyo4XLFdrqdjTek8Ej+l/IrawIyM2jrF+Q351qhJOBXQ9qH+Pf
f0CcabxmhNZOgQ2ygX7dFvcd6ejAuf5ku3KWVfc5xrbXP/iu6PZAtCy+d25nrX+V7NEveqHYUpLf
5dO8duZDZ3vu478lv/bkIj4ZhskwdDIG7tKq5FjdFLaHYN+D2xGkfwHAmq0fZxcm/FC9/wKAbesC
AEvfxlkwye5+iTsLkQSpESEGtulZX9z4BLhEIpZI5q98hcNCwKRQW5zeC66E2MRH7gjFMoVM6dgw
MDSeujEpODzsVRXQ7BCYRGLLvtaUpxNQXdy06ESPo9L7EP2zvK2h93RU9kK/rZZKfSMlvZ82zkSO
WqIpawsG5Url1h5q2dQXe1beocB2GnbjUu9Vh8cTqB4gX61V/fmKm2V6Cy6f8N1nnfrutq0atYNu
Yh4YZ7pMabTkcU4ycgBW8OzELmMbA445D73/UxuFCDmcMKolNhnvK4XWH7k1zMxIwrQxj1UivHsM
ttNRzfZ4cjR3QXgQ5dgb6ToGKsYt8+YWCoU/nK9wWs/xP1j2i3CMZmw+3vwez+CmDQvoWORljBVF
VDAra+cXNEFArlp221d4reZZ3j4Z2Q2P7T8ItpUsZ3KXUMImBNQFDtjOTW9X1LL60r6luTVvaRWW
w9xOzsKDrBvuobAxBxY+wJnfwLZzwsMmI2pQMs8a5a3mNoGyWd/8SbgV0kPPXS0XWy78/zoIEHOa
7xTR3ihg5YvfGZCXOKxtrQxTy1wCJiXvfonVC48xsGiVxMEVhFvi1tgZQloHBcDWirPHxatpFQBC
bv0BG2ocL3dY2hB9ZM1r3TXZPQQ3AneMA4VVvx8Xa/zxD2auqQt9py9UyKBvfwPnFn7WPKiheRgq
IyfLrQLZsYGvRRZLrt2BQCD9TzeSYwMb6tYatU9Lc4czWHGSWTj/N3+AdVE8fu+VvcoYgBnVaMbb
vHn9v7X1/8/aGgkeJov/t8hv+56nX2QgpP9kGvnjT/1dHSusvwnGZrbOIvrKEP2Hxk8Y1t8sJHY6
hF5uK2EhnP27yA9JrSAgEvLGqnu/+uL/LvIzgIvygqx6/rCUiP/V5pr3+J2msQajirUKdVxTZ229
bul/h1v0CKhqVCDTpVQmJAoFZntTmRnnqHTViFHJnk8ZliVmqLrs3xAFjd/YaEyEVvvlf19nQGr/
PQ9glVD+66ex2POv/Fyd1E9n/bS/bdGtcq6lnwzjxWhKgRQQJMZmcCvSQliOVj7wEWt4cxG5A4Is
PMCLJDlj/oiWzrU4Id3y0+97/Y7XSKje8lx8Q3rliT0Aj+iXmDUx/Q+gXwO15V8+seOuacRQ9hhg
/4tG0krJPSE1vb+YE1p1qs8l/wafzDN3vTszThznSWRB6hKwgcAJ8+MsdZNdZ8tcrB2r/hNLfye2
oOHgffUpNEygIjpBfK1NJwB5MrmXA7FVpCd0ATNZ/6VLmhuZc/aFaac557RN0Fv+dhXf/yGO/p3L
8NevAY2xDpiBAZZAXLH+0L99DeiFmRbUeXe5ojrxO654EqrbGgDRMN2rqfWf6kjk3//z267X2u9K
bRdZq/BcIDNci/zP+rF+e1tbn2Kr7uLyUnqLuAiZDBfSQbcpoQIv//mdVs33v74T0lsdZBD6c3eV
rP/+TjWOk6VBUnDxat16X53O+T7qPR5Vsk5C+gRwncz+PRSapq2K/+miWS+Kf357LhRjJcpYDpL5
f3171zXh8q5xcG4j7fciGxg8oMLP9/ZSdJTXaBpnna8eg37DIK+RlfuLeJLuqPzZup3APuhADzOi
wzLkGd/MtjbMIGF59Avxbc1skEyzLUYmqz2g2Wea+Z9/e+KvXxQjKo4NsoYNi3t1daL99kXpzmCX
th1pTNgj2pW272iDNdmX1oatXRmfVJLKj9gDpTktTYJQ0SKIxxCj+9W7y1IBkI1d+O7Z+CttTfdz
tOvEPf3nDwnd4l9/yyYyHZMdH24CIOTuilX+7VMypEh1OnnzjNupjnwv6P1kxcqu/pV+RPkGil5n
zjzz8CTLyN22osRU1db73GIlIvOmeKxzG2+Mm6v4VbE0POL+YVaAmegbIXxeEDVltB2uHhuiWPDb
RPCCL6rGhNOsdpyYATvqm6tLxxiT4mDjaHo0svg+JnxvAuXoNhdsCc/91evjjNh+BDI6zgZrWBYW
pF52mydYhPB+WadktQ0tVweR0hMQ+Vx06VG7eozUajcSCuMRVc1PapL+iV4InRCjc3cXddC8gIAZ
z00ilNxHrkb1vyQy+vCvDqcUjRErOWxPNdlOR0la41E0fv6ZjrXDfb9apZiS4ZoaVwNVu1qp5tVU
JdBC3RFGNoV4o5uduLqvoO7hxAIV5TXbcTVoFZ2JVav275KIFMoA73d/4FFjMM9c7V1e7+bfGRAm
N0br10+22WMD8zPNwE1ULO8erV6I7iRbdgBjoKVA7H83VkMZ+crUu6Qho+Msr56zabWfmasRbb56
0trVnpb3ZnEo+U9RUK3uNefqZGNRiavNjRQjlGr1utH6R1vz6oBr8cLF1uqKU6tBLr165bKrb87s
Vw/dZLrTrUM6SR49DKrpkVHP6Zqk9wkX0zCWt05p05pM4rcc5dVPYy4YVLQImoeh1i+oJQgsJvmm
WfZkM/fRsWhX/G7G/udJh/FwzGYTH8jAdxBt5kb3J74uqLxBGUU8D/tcqiZ00CHpyDYhFdwlje4Q
WypnVyXBPOV+f4tU2uSKUqx9cekPPAt3jpZk0d3IreOwnIMwwAVnyq7YlXna+ms/iM8lnIg+22oR
cjzCBiIMetuqiwoWbP4AG1nlLrOxLqIq2NllXEAxXGxOzNKQa0OcAIIjCxXp132XamyQqjj1vlB4
Id0K9MroSfaFEniBKxZHp9Jkn2dn2xKV1zIfOtR1LR1FnLCmi2ibGkyBXZmikHCK+aB3XVEjgCdd
ZMtCFBlQCwpN267stletLiBNkzUFVIC/dA1Ci64RtdqX5StTP7840mL2OaSb3nlcWHmQ3ElOj0Cx
lTCz3riJkfT7qB0ZTPIwNk/EJhhyN9R8AnaGebyEnpgW0g5QfKtz4RHOG2LsZkKAUpjhEpJD2JqR
GQ8B6la+ztRFpsy6OTOXXyRY+Awg+ABsKGiqmqPADQeTmYyeLcnIjYkWHdTCMkRMUMHp1v49My/c
AWbaAPEq6gwXk76OiUQdEU/qJr5bh2JOluqYpAIVmvRXWcf639FAkY3C5RNjzp9USqIUYWjaj5Yw
kFkjDk2iERRLmZLE7Y2WZj7PK5/j4tT+XAUloRlnPEQ8kph1S/6AT0IXopM0EeUb8tsyOTVzAdus
U/aS3og+7p8tmKXv9rSiJTyGxuZuIH7dDJF+47MtBsE8MzfZ1mzJnQhTkTaAuBWVRRZn41NnO+qj
bhPzwPYwjsAN2gzmSy/idey8yiZM/6DTCLYzrYeut8Wz6Ikvw7ShwffoxexO4WgUWXpoEdWoY+ky
Ab1LNdd/+YNLX2YZEHEXUU13P81W7231ZjUOJ6rkg1UAc8UNTzD/Ba4/V3fBKdkGDDomLKGdHxn3
WUtk76PhlT7obitTw7mf+rX4TObp3oZRNIWVKnhrFMTwticDvwaps+76w68fXXE+8bkYTFwQR/BT
DI3NryqhpV22vhy5deo8lulD2brc8u1AVRDz7zhTjb5M7hphzQSpmDWEj2Oi2mk4F1qCTjHVh4YM
wtVIhAwRvSffOjfTlp+IA4QEtrVO7sviJUJge4JMkrI/IquK62KOnXdVshXYTC1Qe7Of9O4mpszN
8IuXMnvyeFrsu1IXl8aPmzcLO1OzarRS41TB2BpuooSYmGBuWXZS4M6ITA1+rTArmvmnBNVxPw0r
oLHR51G+KnzV3QF2R/E1L3jswi5FwBTQBwCsTom67tgt4HrR9KjYwZyJGzI4OebmViWPKZHqNwTe
ZQCcjdaIOfZsVLZEcPovcFDGOMyNcoWta5HpH62yEs2vggN5PnmCSyokRpdrJLM1fqPkucGzgGXR
ALofwEBHft6PPGnNEdVQ22Q/0Lf7z9pMmX5a/L4Vn31HWtOmwBY2Eslr8FJTIdakZRU78bHma0Eh
QhrMbqnGsT9Ps0tS2dg1G4/lh1WQmHJY1JqgTthlt+xr1GfVuXRg82o9aWBh0pTFeBPPqk626OGK
5JlKhCG7j8QRbkkKXl4mOGsIqh9R65Uk/T3lcSPS76JaTOafqIzl/A0ZCLECSUO6MM5ntgknLarV
B15FbdzmLkOsY+rr4gHSSgQvfiAdJkyX1QmfGn1m3rM1XOxL4dRrCmg96s7ZEgnx5jPVTRcqQkuL
UHmwxJlBsJ1ilNchh5zMCcJpbnjtfvGwO4LsmdDuzsyQmKUzOmtelT2L5yzBIsztkPovXOsF8mUf
p/BuMGo/23nglBVbyDcDhrEnNlKO7jebmFDFpCfuLXKcc298bKLOJ+4w5opGI7HGJNA4YG1PTYxh
ty7ILfOeyNvcAXVa+fxc06TFZ4meSwVFx0Rlg2d66M95HvH5W2Syuy7xZLLaPvTj3Fjc9zPMPED+
UeKer1Xp//kl/0cDAP3ObwX8X2Jann+VZM53v379swng+qf+e5Tiib85Nh0ion3zN6ukr//NFDZ1
Ps5jQBpX//Hf2RtYAzz0+HiNGKTowsbp/PcxivU3mnB6A1YtK07Us/43YxTSov652WBYAZ+V7b1O
U6TjIF6bkd+aDZcYCS1RdnnUyHoT+OfdiMcagG5FA4fhjOtZOK6hbns08ttVhxCIbjL3bhy5h6aw
UhRaEXA2TNSkdDSW8zxJ9uVOqpdBHCOg2qrWDIvYmb4X09TAGTJt892PS3E0aj3fDr7NHjeJrRC1
7yf5tP1xNLt4b6clUwmPw15ApdkuMDn284hW3/XROsPcm7odvv4CH6WHVjCbq+8WXLl3kpKK44CT
Zqenzm7oXDfQSUzajlka3wkkPIeScvcZWhSkq7GzCPMwDaf6ngi2mMaoLaduzEl8hEbvfESeWxMW
VhApyM0fx7C/5/4bAinvlppefxxUawRl7j6gLPXPegZGySvi+EeedNTP5JpiDhvASKdNRIelt2hh
o/KgUmsrW3N+qOoKCh1eMKpbOWO7HsVd6fqnuJSBXU3yXvMiDVAeJkjBRD7M1zjEQTb2U6ubZaga
SyfE1bJu/WzqjkO3aIxysTBYMtFOeVfWEO+aZZto2QLkTq/OjZOQ1tx4GmIupYZngCtWSICJexuj
cNpbtSh2RmPavGq3PNSj0Z3dVMPuMBjPzlRMP2c5OGGn2GVFruxY4mNAU7OTAwivgDHVE0iyNHM/
BvaJdTn/YAPU7UVtZoeBmIa9afjRy+il1S7LIucTGL2cz5gDsnNsI4fNvXpiYjb1iLcgmwdp4pEa
57TtrnHYxs0Y84l9sY1N7LEHw9Xmf5CIq75ixK27RS/J/2miNW3Vo0qxZtXlt3NWfwOIlJHBWM3v
GnN8k6rW1s+4Lscbb63EqkLnS0598gHqGNQLnk0vSBbpnSLdKe9MMUJjV+JbAgiv32im1cCqr+TD
VDXaCYMl7gEISDdWkzrkPeYW6YCp0Ar3MGhDOu/ajrk/vgNLQu4aJnUCAbPLSsSNm2UlwCdW7TFi
aGKEz5VBDMHg0VSg84w3hjXobM4NPGYmJE8jyBoeTp3g+J+MpbjXNPvg2/hUEtZo59Yx3qsrEbu5
0rGhkb06aeuukT/7iGmidiRhdgVq01Vm4LVHX5X+z8WaG9jbERjuZQVyd4PhFT/9K6fbgthNJNnw
zQbuiPltSNohJDTx2Yq6LPTbgTVOTji9qsjj2PgRzqGgTpz6sZ40cvu2KSCTQ81yq/1mEA0h2eNh
skTUVtLxuSeAnV6nBYWN2/aOg5LfezHiq40Qq4CIqeJIx1fXqJ69phZfGkIN3Ffd9hAXhh2P5Ydy
8ofoM4sacudBwaH89TeJsDQr1IfqiSsXMb/nQw+9RvVIhrEoCDZ672cfLrGP2sErR4pSuyIpY1N5
wyCDcbgOZqdksM4KksJLgdrrXa7qSXRbM9lJAlkRZJVGTfdl71qf8Ol7uTeiaawP7ty4IIO0FJ0o
vW3kh6UteUsgXy3k/AmasRkvVUEKZw5KUVd1SuacRTXey2jNRPIpoIKCuBusE/RB1Z3LcA+BxzzA
Pu+v81MdZ8cIbMudSM+DL+bcTSMRHtgQ+EcSJLJNa/M73joimp9zRZ4Ues+u3UiwiAAOC1/tM7ro
M/1Ac5Spz30/2VFgQ67rUcKY7n4QRrIvXfRMFRG496WRM7xZZU+tsKvbKbFxK9Ukflaqt4j1sBiN
4hMC9BcMBLtiYXaME6LBPfsqwrCwanN+xU4asqg1tZ1OO/1E/kcWOkjqyOdm9rNxtLK8uMlQPXrk
WVx6pxnfUKgaRNyb/g3QWlZWTQvxbLJiBKz9AqVpGZCfFSRt/Gzm5oNnVIuM08Kp60bQBccUKqSh
N/oTMU4RbUbmfbOtuMNzpkU8HMr8mMdud1f1nrbLtVk/jaUe/VwMx76fI8SfLuUxR2d0KHip7+xO
06ArfO9thOhYbXrkxwfYR9ONu6zWNxsKZNxMMiDOMPuRAFQ42QTVXIgz2jGYQaXW60u27dEMMSxh
jhFmc7TcO7gIUMj7+w59wTcY7P1xxlS6F2257OEWERaRCagzS0cZrPIquWOqaWcBzaJ3k5IiHDKP
JoGxBXOreP+nCfbHxhCYXmO85/f1HKvtyLwstDI/3tOkeAB8JTExQlkJR+NifTcRQq3aNL9+Hz2j
Pwt3Eb/Gwah2NmuWUIpIHJyuMV+1iffD/h8HtejiXZbWhHyXfX6RumpeBu7D89Aiyrdt4d8i/SdH
OCmzW6z2gKjITLgQJkI6gpE7h3wZf5APlt7OQPBeo2rQLxHhPbxI51AJYGXfDF6lbyti3y/dlGD/
Sbnz7+3MnfbAJNp3zy2RozsyMKelf2g7eyJFmNjhY+F3/gOu8OVGZLL6UB3dGGEveihnbI5Yf1+j
tnS2ogT3mZeuC1hhXrs42Xob/b/YO5PluJWrW7/LncOBRJfA4E6qUC37IsVGEwQpkuj7Hk9/v6SP
/ytRsvQfjx0OO47DVkHoEjv3XutbQnskk07fICqoLkCi6GcmlqlMff1rf9IQpKhtRbKaRPdFM3om
9H0btu3KYl9FsClpxcPkeOsaQMUaCQJzE3bP3bqGbiIddEGOwHeo2qNsfXipATn4ZRDbz8ZEbhXe
FvaBUk9YCZom9ZBGDs4cyVsT/EHIJy/M4zDCDDVX8c1/6/v/zaRUGLrOlOjfj0p3byU5jM/fV/d/
/Zl/Vff6PzDjUkFjcf8o8amg/7L4uvY/+OJQw5PraTqMiPif/lXhs6n4V0XPPsCWWAeYskrB1+vv
FPRA+D4V9GwMHP7F3FZYlmE7agbyXUGPYYXmU+lm+KPCp5F3b9W1GMbArzyihLxtBm1f0Hh5dHPx
ONPH2vYS9MY0HIl6cjcLWs6DOebzoc3YgxY05g9eD2WymXX8l1pdkD/qNe9zMDh+GUHbKN1WJzU7
q75CVNJPmkEsz6IEKmaG6BGCeLwNUKNu+lCe0Kq710ix/NTt8rNiRCDNQANG81jXm1YzDH8ereao
d826HvKruTVgtXUWlsMMeUArlxv8KbZfylEiV6OANfjQrsN5CugjMuWzNHEzLqa9a7vwwbGokwwY
4TuSaKKLTo/FWUIdtdb1Ir4WTttsbM2pr11TbgiRv+8nnC0sJjStHXufy+GZeDUQYOYwMtWoppe4
8MIzvI+ELiOlo9SrnR1mBH3TWI3cjbRZ1iPyzE1mmq9dQkqN1UPIJpAGm7Lsn41hptPSDcfES+kS
xbQHINHGu6UrQjjNiOsjWZzyut122Uw3RrsKiBjb9Fo97SsTUPME7+DkVUb22DF4erCHZMvH/GYR
XX5KgZicx5nb4D5y4a6uca9eNBWBXRvDZftTE0322C9lfJOaRD2ardatTbOACVOFQ3NbmwBhsYjb
Z1Y6I9/Rcug5IV/hc4Yd8WVDgfQIn52cCtvx7qfcTIGClj26fayd59Hg0RIbSWxjAOneyHHE2paZ
VDWZQfuoM93qSbItQKcqh+y+SAv7zCYkCG9kRlOxIIGSLlBG3F6oVygNUQr6dEiIu4o9g4Ii6mvG
9kZVHBvsSWjFSr04Mqfq4QS7hYQQz1CBznHJZFIn9vpsdk2xNchV+yrZ0jn+FITsCoyYlEc1piB3
OacLFpe3ggSLS9MhcdAaE+88nKbka1UFGrGjAua0QrwKEqi1adPp4JTRIsUEe6YhudDIqmkDgncE
9trsma2waNvxMGPUIfey1k1wNPGsvzS9NA8aIxEEUBBg9mEDrIHZ93TNBdTWEOboYXk6leFATt5x
6vhJ3IZz7+tEhF8bfC/ubdSq6d5uB06+nsP5JDMVSJgT/XxK2XqdtaWNyNmcuQ+Vm/GDopuiGhpm
XNBaRffEnqp6Qo4V72LMTnI1off2cQ7j8JBRl90jEIsv6SG1rwx2hp3ozeqN4MXpOuhLBMPqb5YE
SeVu2eny85lhyBuCBaiz7MZ21mYQuTeW+oZZhIu8A9yxwMwU/V2bWBjNHPpS61idOPMs5IFA975I
PDLv9LKgFtoEw7a+iwkaw1s77JLRSr5+PGkJtmk6o5h4e7bAhn1GsLUHQswrr8YKscQK5WGPv7nO
7jF2GA8jJlisqLklbxo7tA5lGkwnMSGSaxqceEbYS2tfDdzUvreKo0bgHkV3MFZbgO3dayej+LIA
RI0cFDwJcYLGKaBwPI21lm8inkiYAJ4dfPUMPBajnUd834OJHxpcjihJLdpmYaTdlks97BYnKW/r
sPYIIiQt5eNuYRNiYxJiuyE2Kig6VGSDuy4TrtwsLftc1K0VrByirAbfCfl5IubDtcwmnnrYKMQb
QV0EtokBv4zXuAgv2wIcSz1f91oLZgqA6GCXXwta5WHuYKJzL4yuv9LH8DpSnPWsi/Z50rzbo3fm
mSVqUo2QPUOeptbcmkO065zlPmxah53a5J47BAmsqoAEi1bD1zeTigdY4NTxHeupzEsK1Vg4J6tK
sK0k4pJBsOGnwqV1AzVyLSQTODDClzFAVFgqQCHLo1nI4JohyHQlJoPuaRnONBFcJ9o5ZaqSNAcL
dH6KC5Pou/0wINDt6ANFvkY3uyAjgFHBG4a08qyO4uosWfp2UxhI403D/taIbk+e8A0o3GydQmm/
gtMTPGnwlFrN/Tb3JTLSgrEhcQrQZGYiebXcnP0EDjPOxcYY1pXjlLc9/DJSFZLlFXv/2qCOxRqg
2vwdLv6kr46eTHdmwjbLthducOyI7VTDFkhIMz+nzPvizPQWpMcWa5pzZSE19yOLsK+7fUXuMTF+
utcfq3CptiBan2rm5FhDSv0coY08Njz4uwRPOkjN4EkXOSFJZPT1Yn43Z/bXsSvfYkPGe8YM+lfp
aKUv0vSuE23yPJNRQBAfINvYrBkX9Ug/6T13igRo1auByC5/MgdCjpLFBEyLmGu9lD69mds6b1+J
Aw1gm+KJnqJmrDZmCLSb8FtDGXoXGgB0IorzUjgYvcf0hscKFKoTCKwks7VhFleAUe21ZJ8WKeUy
GxcIr0b11tpGugHegCEGMaRZVc99VuIyAd/lJ2J41AP4F3rJ194zantHdsY33dKf2Pfu9LkOcBtU
88qkqbayTSY1iBq1i8ayvwRzoa8dXkNyG4rwkREnwv/W9Duhu+cjjrYNRYL7akl7OEk7Fl/SuVY1
BI3EdWs583HsghHBE20f8A9D8iWRfQqmycrfWgIX3rqmyY4AXiWlPFEE7L2HLd/0cZu2/NkQUxek
cf1SEm53w3iaBI2oprIyNXs1Vo17WQ3V+BUTdfYVqrZ5SZBeubapsFaYCRYfcFbJSt7FvVxHBe5r
YghcOhlTEp4PzOnEsTUCQYBluziXhlf3Wzes2bl0bnjfEcV85UBNgbpoTFj04bjA34IrMKRJfy7t
BkADCQDIdGu7UklNI5/BqS8vS1rSR4sx3gY7vppX18E9CKnuNJIpkWyAWxRk13iFdtmFrn2gUkgx
DpX1Jp5QGiDiKslSbKb3IjeMK5GH3Zexicc9apj6walVBiproR8uHvYcOba+ZmFB1+VySHOqsHwY
tKNesoBVYLT2ZQBQpMKst06COdii9Yf9UGf1brayF9mSWtI2wXiVAk26aIKi2WYm+aC1QQhfP6YB
zaHmYiqTraVpO7JgnXXmLk9J05QV5t8hY4qMi2sRZIzEUZttc0uHSdmk1m4pl4spjkAUlCpytg/U
yLYdrhdoa6t0KFu+XIN7NY91dlsnLXmFZqo9mZ13KYqqfRslHsbambutVznhts+IWtDMmgkTiggf
hCWvOLHVMDD0E1/Qkt4u5vBK5S60kHbvzWraTeOEdtdcbmfHlJdTbNA+cd1kNxdi54xxi2+GRthQ
hm/o6HdmxycPXA8JpXHSbyZ9mo4x5nf41m0AwSc4j8P6ZOGZ9hHuJYd5cSbAMi5xiH6iRanYOOZy
8lJWV3Eme82Jh02i6MPVLiV6gkAYJ0GebPTtiPG+HYm8WXmaFvJJCGt676mno6qGW5bNIJ6pf5dz
m1IFOVeYp/ZmxqnmT25l4NIl/RkcAN/tvvRzB8rPqg2HaP4Wpe44WCuyxkpjr0yzU27dwAEetnnh
9WukK+NtgNYKecDSXoYJcvcExs1FZy+P9WJiKKicU+yV+DSWrjsR/23gcrCTq1pW9gtGvnmdGMXy
IlrRXYy51EiKGN6acDY2o20MF+4wmL50pXW0CO1g9WOs7o2ZcT5ibjyFlCobA+SjP2vyq+WC+qnz
Pnkeu3BG69hYNLqC4JhjbUGPr+vrlAQyQCMARAK8E3wqK3jcnRXvyKW78zRE9nZqnS0mhXaWJa80
qYYVTk86VSJdZ3hVIRa0ftDF3nEOsaVu4E9S9Idz073o1ti9ytROzscRhJrhttbexMN4aBLvVh96
XCNMOhfNTzE9A3EJaF4vtHPPrbhByJ/ly0MGKfuijfJvbEBDBC1G3WOx6Rb7bC6CEsBF9K3Oc776
Wp2/ygHVLKKbrkMBEQ/bRujNE+WLszEMczqRfs4swRQnM07sKzPByYCfhIQG3fJqX84E8E59Md47
/dif1ZVZnC/ZAAUF+012lRY1+S6La0YvRd3ifguSeNoyiOZToHsNGha2hthARsKTX91QZ+EgcVqc
SGtwH7pGVk+LmRcvCzQlpsqBqQzIjEoQiuhjcQfkDrigWFxc9l25bVkYEbwsh3gOCqhQbLLKeEkv
47Afn0SH1sappUnoTBHFayB5tG0MDn5VhxQlSelCSCpir7szgUAi6ejKukBurJzWHQAbsEkI+TE9
4+Vs6nZ4j9o830uzQ8JRkyQxacVbOiFPaeeAJrvZnqdNn7PPatyTk+vDdRh11clMvMVHCkV1m1ja
yg5Ld9MEJi4/z0VcFMVf2PgRfOORwaQluXvIHIUZ+W/X53/V9TFJh/td12f/PD7H8Q9Nn3/+kb+a
PsImN0EJUyTTSpv5LFi1f3HdHP0fhuVYyOJRz/N/QaP7V9PHMP5B31eiuEbAazH3pXfzVxNIgMDV
PUotJMSMElzvb6njP0lIlUwbTBQ7JMNBbG9Z7qcmkO54GZiu0LiF11bxzUGeO6/IICv5EGa5Yv6E
JFjFWUNIbkosQZRqJ4qLeVdY2lzhsySMBTYqNnlkW6PP3GzdeRp4EIYcTy2EjWbN44hETyMeDIXR
VMHFqGxl3JmQRVjggSrBhtrQ9OmaNXr0Y2CMu9KY05PSlO09Wu+MarT+DUDY0iDNGS2Cw+LoakLQ
R0pb241MiVVUmhnhfQ0jLts6ChmtkN7aLFt2wPWRHOjqBVJj8gwvcb5miCp8gwLwaW6WZu1VIVZn
k+rsbWhCwf4lI6fSQEQSRs4NOxDgo2XWGl9U1yf1v3tefiFF/wTW+7gFDjF33FWdhAvxWSudM5dN
iElybpcGWY8NQQu70cQUyCP5lPrXAGuAdiX3rsEIGOfFCJKBYAIX4FycEva8RMm8kdIuD5BLhosl
sKNLo7fKVxGn2kNR2+0pmmlMEB6bXLChFhHiKHbybKndHSiNiuG3WV65bvOFGB17D23jXEKVZPRt
gKHyyEx26pffn7QCE34nEOekLV2qBxhsim5ZYAp/bD5WOEMY2qFCtMo8eBLq7ockOzxiKZmuNQlT
tyeO/cBssNtYEdXjKte6ZdvyNbmY+kl/qVKhmi/2OF2F+HGZLJr2bTDzTzUsxTejKsVZqBnjVdQ7
4pz8OiRsbnBPM8bYeTGtkrQYh7WTZmTMFyM+Xa3RdumgsC8l9IRFz3mmTQZ4Z/pivhZOfz42hth3
GMD3s9sAZ7AAFsQTwcGTDfpNp8tASPBThtDnCD1p/EYoHrOoDuczSXMmVC+ybJtODOjpKEirD3rv
OJ14KdNLOWi8TG0a71NT2Y6TBhNb45AlD1r3DBJ6vo7ZdfR+HCO4AoNLS2xp6FMAoEWIWUynqeAu
rXCCJRd5ZNbns5sZD3NXVG8uMm/SDkf26jBRvHo/LVJsC0I69t5UxWcZhpKLD42fW4jhAtkcJ2eY
RJxs6mhJcK5FieI+Y+3W4m66ajvBBTVU0wvU6X601bsJf/GG5Mj2wYra+sUL0/DcshpvrdMp+2dS
6r/10Hxas2x4lgZKFCpiYXrcS++T7N0IhyAIB6mdmK8uN50HalkjfON+nsgNbmTvrS1PPTtNuXyD
v7Ws266t4EiMc/SaYKW8rJjcH+tOrx8kpm4fIIS+Qyn8yEiMSIbeyb/kNb+SDo2NYGTAxZ1x789L
ktSYCaORbe1w2rA7NU6Tzv4AMiunChJ2vrCIeluzXM3bgUmfWlCBNjd21YkNyDxjo6SM/OY0TJfA
WJebj8e2SoAkQoWaL5raFueiKgMwh67+6Gp5++Alon0AoVFf0kSErAaNhdEvO634BZPtri4biEM9
A258w33v7HB+pHKTupF75eo1rbLfv7ofhp/vvR06PVHDxQrkOMrvJT+ZWMZatBT6TXBCvueQocvE
G0BOrd0mC1DmRjCjJ0Cv1e6SOYZaa0+VR+R2U0TTztVjPi8m7yBNoQy4tpsO1XM6OIC0PUqikH1e
EzzRtuJkVM/3AK1Y+7vmFE7AUp9XQd6vKQ2VcvT94KNY0hZPJ1OGzIGEOyViuqxJc0Q7Eqh4u4J1
JlBDe9twWGKKCLY1uQXVsx7o9pkYneCdd89kYZ7LZ7IgxTlBf+kxMqo+2NbAGO4yWSvdK/gO9w/G
lI/v8aeLb0lLQmM1cC99JDR9/3engxw3izXap7K3QY6PbRu88zSjVmraJrsXKJEv0PhMVxnBRrvu
g21uFIUDVSMejh8o+JGe5CGzx4bAllq76xj17rwR/tm6qfvianHb+Jztx3Q95h7k0w5J5vvAZ4Jb
FFsvbTD2B31ZgGGk9TJd99aYFjs5yGYNXGdZwZ5hGQKe+WBEItlrruYeEcFCAcRxs81ak1zYLJqe
Goe5dTMOAbV31GzItCxQORvG9CbClvUKHg6D7LYyxGYxKw9cQvoi6J9jwS9qqJNVdcgsOl6F5FWn
JpiuP169wNPC1ybQIjKDkGhClk2DI/IZ48T2iVZ5npgDwLA6etWrFnkNcUlPPHnDm5XlagVRlyaR
AaGO8JEtHUQ2s2JWvipu9NUMtO5OxwtM5l3txI8yT76ZJaYZNDkTUfIG1GjVGNQstonRRDvDpiF7
mQiFEfr9W0iR+MMXlFUQ+Ro1g0DH9FEOqv/9u/Eda3XeM5+vT+zK4R7NOi/Y6mNtBs5FSySoo7XE
jBKvoiUKt5Ri1bNjdAtjINYksj9aRAuEmkZZkh3rmBbdaiY4Ll0DS4pzDMDFtkPLzusqpP4yj3r2
heW/ezHY7L/1sbQ033PsHJlR5JYxAVNFdjEA1N3kRLnzHFiFma0yMwvA6okAiLW35P3eZecEr6aS
KMzzL/TbBdjsqJ2ztWbEO692tBs6IfPot73ev9YYnW94viK4RHW5n8TS7ize2j00MlVyqvtajXH3
QCzY3tZShiqTES8bz5wfRAWuwyzRg/D3iQCcJrwQXmjxsCZGi5OdUJVvprRyXIpDeixFou+RbOME
oPVBMh9to/KC7GTLW1d9Gt3zHYjvWy1R8MNqNN1VCQb4oWXEwJQjrZ1wH1G3EItlshqs2qgiNcCT
4qRhOaXAaabyqLuEwGpt7vgNG0P0hBG5Bsxfcp3TTVnygIFzodoR+iCEy57XYI5IOIa331qWny2i
uAvDrj0EOiwyJmGJ+RKZQUx2hHCq9EzryA+ssVXfhBgttc1CL+Ylh/AUrjuEBb6adinizyLOQ5t4
iJkHgfY/kVpnmjVHdBuFaSq1dYzkQO+Xm6TwIEgImUynhtpyjz4FcGQLEOvdcFL34PaLRjgpcAhC
swIBnLRZxo01DBhIWidGWtSwsx0bEilWcU2VuZrCBpcaZoIVkEfdR92cvUs5ntg6Y3ixKVuD1Zii
2MjGNL+U2IuujVzCcDQyuhitNy83Hy/Sf/XKd3P19n//z/NrHheYt7om/tb9sE2lgGIv+u/1DFv8
mPHr8y/+zP/XM/ATuk13HO+R/eEx/ZeeQSpiuYO5HA+lSkBnW/nX1tYkFkmJIDweNVM3IJ3/z9YW
t7gNVxFpMT4udqSe/bcEDj+uj3DRTdsymUTbmI4gEHCy36+P4TjpMA0AAxlGH3brDJVMvraMyDu3
etNrVzS9C+YvLPS+B5HrD7s6tW/+7juNdQfBtEtYlO5KdteK2f790eualvYAwHA39sawkXPubERs
ZP4s43z/3W35xQbyl4dC462rXgGX7tOhSIOBkgHhaWeJJobVBgUOzh7jGFfU/8FZcSm9D42Kg/bv
x7NaxJTCq7a6XTah1JpYJ/2GNWfdTbI//P6sPqlTPi6gyTlZuslDgSjhx0NNQ4eYxOYCknuPLX42
cA31zjsKRj8kbXotUQiq8Kh0XWEuWf/+4DyDP909+jUWahysObRHfjw4S3IQmFXX7bTScgDXTdGm
EIChfn+Un2+cTQ/BIL2LFg9UsE9HaUPXbMn76XeNZzkNz2bBxssGyat67TnYuN8f7sctt80VtRVn
gcYR5TtIBnXS3xUMpC8aaApRx4czpLEobd6kaby7xHisRJafOUzt/1Ck/HwZbYP9mcH2nvpFdz6h
A4IoTUaG9f0u0eGKFFiQuFleufn9eanL9OOrxlHw4HrsSdAsmuoyf3deVh+IIq3TfmciqliZmnYe
qohAKuj1pOf2H87pV1fx+6N9ummQLsI6tLN+5w4MBQJGcuEAKalKUgUy9GAmpenL70/Q+FTqfdw5
F1iGbUJa4IH8tJTNUeqQfcRrJyLHurJKC6yqrqC95eLuewLXCUw8yWFG1U5gwCt8KfdIj20P+7zc
0f4fNv1kjKtmlNW3aTI1lKOWh5qhq+k5EcgswdgKqvk/LEziF/ff1JG7CYdtIij6T0+c24YOeTW8
RvGIqh3RFV92BCU2o3TN1MncFERauuXoozJHLwot9CuUI4p24VaXpLiakIBC7wrvXPiHd8H+5V+N
9Vm94Tb//vRXS7wMZ7OddcxgIuY4ke2DmVBYdyJ62jpsv0yxSYTESH/UL4G8HqcCtBkWYRr6+QR4
eNALPGBEWtVMlamRq8APCphKhRHOZ2FvNJeGs2hkXyEpqYeu80dpM+LoGqSrmFXvUXMEaw/f67qB
erOl6EVZazbuBn/EsUsbQoC0rF93ge2tpsw+i6z0C6ax9jK1wBXO5pJuG7OH6aN1VwA0l30dSxRp
hOOspiALzvVo1h+0BnUJ0RUawdrzezqbp84FWenJMN13TtRd8cvF9vdP688vCDsSCgPeer7BUn56
WKc2tHt7VDe9jS41qlrwFvpBxNNdvwTEcve5+NuvJEfECenYui3VevPjAuA10+B6S9rtmiA4iNba
EJKKL8E6R+uMgcZzHn9/hj+v2+QQs9qQ64glyvpMRGkRGRXcmw7ZRVYBXrLGQwjMbuMazez//lA/
P6Z4twz6FPi4aHg5nx7TsEe7NwJR2XkueXSlVotDOQJE/A+OYjkuZQoeZ67hjxcwh4yXdyMXUHMa
vVnV0tP2+Krd698fRvy8jnE2rhAk+0mmG/an46R4tNmnKLTAJEofyz6I4ylHAtQSFYBTRFJS8ODT
OYa/4D5ggd2VYLn+tCyp/s6PHwwXTqqDghZXnRAfeZrffTDqurSWeJBsJadMYo7ysi0m9G7LFJWN
D5kU1kFgGAGYWL5l5ShPAN0Bzdkg//NlMY/ADoI/3AHjl38nsCguExmPmvXTZyVEkqAFkdnuirAv
DnoDclLHjbIUXX0ZtFW/jmRfPWVsnNZZrc1XPWDyNd45w/dccNEkT71lYkI4706QEMevPWgJ8MRd
dTsX8GSrLqaxH0bjsZizS03v/lRc/PoEPMEGkZKe91/d++8uaiAaj/yykYsazaeQOey2H63wC+lT
fPRrmfhBy96THLSOL1aTH/H0P7uxvGsbxzv0AP/Xk9sMG6zf3k2JveHOtZa3hXTpo4kqYUtvcPbH
NNH4VnTZFiZC9YdPgvjErOEry2Px3Rl8ejrHDuNRWM4tMQ1JeAwWrzh29lSgh9D9TrV/zJ5U1CTR
D+gPVWsKIvHvXxDzl0+Bx0jE5mUU8vPr7s6sJcBa2h0aDEVBzVz7hbLqWlptsWID/Fpmw/QgDRF9
AxvUYZVbE3IS+Uh1mYuH7dbQWxSMjsWmOxYjyjijJ12EA+4m0pJBKYfiDcWIYKmUt0y2N7aeAAvR
vIfKTZq9GGwk2rbI9iiEnuWg3zozBwqtj0h0D4/m70/459LNddgNWhYVgoOx9NMlt2kzYwxkQaiT
7KEIaCMmma8tgJfLxTb/UCf+Ytl2qIHZeZLSp/rXPz6hoLmdomHR2VVh8Q7BPOCrjQfKAnfxhyOp
X/q0wHAkRcxieCv1z4V9HYQ96E2bJ6kJ71Jhhg9JpvSj+cxuwiZ7EmOHQ180cJjF/f6K/uLr6xAE
BuyMHrf+01wNzDcRVolOXq+cnwA+XU+yPulW8J7J7oUtr/OHD9RH7fnTudrkkgmDDbfzeU33Bq2d
4phHlm14cepN6h6Cvfy5YMZlDssboIO7Ms4Qu80VxY1FFunQ0gRC4/WHU//lw2QzT5cGbTvYVz/e
37hH7B4NvL+jW3a+XmGjoSUcrRD6hiQjJe+/v9K/+DQ7OpUjE3j23mzyfzwcfqw0zPuJmwzacRdW
IsC16UZ/2CP+8voKOhk8SVxenOE/HiZpRQg4vmp37JGbtTsQljkUzOPwQGoHEk95OwdAvuTCZMDV
mRPSDcjA22hny+L8aY38eVMOTYxdIZty8Hz25/d1RI+NthUcvTl0+oYRCmSBZrmYB6THYS60NeBO
RqmywwKZ9vofXqvPVC61QrMuOlxs6nY0E5+Wi47Bn2EWuKNnYUUvlWyUCqkJu6s2FirMxClRj5c9
P7DSZo+e4+DUme0TYo2qLK9llK5HbR6J2zDDYGV0XS9gx9vt6++fjF8sNK7nqJk+fh41ZvrxlkWa
G8924dQ7ZwoaNA6QOKy29gg+IoH1bx/KY/1EPACR1eXq/HgoOMot2mdZ7zoSHt4tc5Y3SxHRN9Yc
/T84LWpQEswc1VL7aVWrimrpKteqd/gjmhvPFs62nGVwljQdXcT/aTRe/3P1+A2dT91njkRbhBIR
+NrnfSMd7xCiN0eKTdLAAobYt3nICImvG8QwdIArq4zmPywfv7hrINwdWi0CQ5TtfbprYagX4NNs
Jidg3Na5jRAvJkbIb3Sj/cOhvI8R46dVk0oDjIKEzaeUPj/eNzclARG3KY+I1ej11plnnExk6YyL
j9a2yGick5PsUJNn6xpfkbZl59hPG2JyzPwmd21erhiDsHcImJ3cG9UAZaYho7D34ZoQYQpyLXou
mc1fpCiA2m0YKRtxWyi/Z8EpMXVxSlhb3mDj7BrBFc5ntobTJp4buWwA6xH8GqaRuHN6Ax1chvXX
2CYin5yN6VWR8eiNIs7fnIRmSbiq2MFEZ8jACcxr4rSJyGUsxXzICrprO9BNubXR9EocCUWZtB3T
jqG9tPOid6GR93Nw47Qgl7b8d22Ei4MVflr1lpcCXIcbFF7g4bSl39sm6t3eRmU7aJ4THBsykfei
IXkCcn1jNCsviu9zINwq6wH63gEdS1it3b7EMjSDNCeJt4Jgdp4MbCdJxfYqXF9tO5J4C79mnhBt
QwM7y8mv0ek75JXhVwTLfIgOXeNZAp2Z4Sx0EwpFq2xuSU3T5A5uTzJfj4EExh5bqEdmrfbkSWfc
Gm56rO39gSJ22tbu5MVbqwjhzVkI+lEmtCg5ikZ5UbJAtf90zcARXre2+yWJyHOZsrxU6nOSq1ZJ
VWE3c/sb+rzbXjm7ggqPV6YhG+4KBzZfnkx7TclCzdq76jGHIaHcTsotFmAbG6wIgJZykgE7Hv1U
ucvCfjiaym9mVO0zoc4Wgly8aL1ypQHEerVMbdwMyrHWKu+ao1xsnhWjMlDONirmhWhM3G6t8r3J
DqsaSDlS0TDFLTXuuEH55LAu4XjK7gHFbhzlpLO9vNkI5a5Llc+uV447QA7RhalceOwW0ETiwZqU
Q8/Gqhcrzx4UquAQINFYT0naU1S0EgG3BVVU+f1SjH91hycA4rvNf6RXKd2lacQlmE6T4S96SkZF
R8JGQrY77Nc0PxtNIN3KaUiW8wnU1LQRoxsREtosa4jgvY+tHI+icisGyrdYKAdjobyMc0fk0IT9
8N1RTkfMepXvKvejLEtkt8oRKTEaHEw9Ng6t8kvSpDga0FljuxLb1J4fc+WtLOJgL23rNu7nR8Bi
oDp0/HsEcj3mHyrOEI3/YehlsR2UyBO+3V2qZJ+tEoBiuXE3uhKFZkoeaimhaKQko6h6h+tayUjb
HrPziLK0UxLTTIlNZ1SnrZKfukqIGitJapG7w7vVIlOd/ylZTf8pYO3/0rNSaSp5a6mkrumH6tXg
4XnIkVdMvvxQyDJYFn6iZLMV1/6yVlJafOuk56TioPfhDEUOwa2jpLf8Q0lcCJc7sA17bs/deQzH
9gkdgGwJ+zECNAX+AqjySRPmVic8Cf2gwd95JzWj/DbJJa32Zgrvws/dhjzXuYQ1fK5pTpfALncb
/ITknWpH2rM6lpayRnHbcKWAJxSZv7j5cIc4Ybo2ssS4AwSSxocxASRhQyu8FGiG8BaQHruaappx
UdzqL44eUE/S3602ctGzMzQ4JJi0bugQORNCUR1J4DqfJmR81pCS7UxzH79ZQSY5Wu9B9xfCvb8w
Z8rfmwrtA7P2VnwFH9f4bNHsK68wqic4Dgy+mYbvOiqWO3e2kqeh5XdmDbdo2Rn1Ebdnto6nguhP
y2wf6MIxBklaIiXxx/IkRKZXP5IJU3+rKyvdppNWP2KTjPdJE3RkkGAU2WI2bB/sErwdVMgRa2Zg
553fLwhI8OtpNgAvdFCh49j4LAzzAMYt9SUt5A27Uq/Zpuyb8n1ewXNdEUA/3NfBqMCBWGZIiiQI
Myaz0kLSlDMaPFRFREo2LpfxGHpJdKvnUYaCrelBX3I5tXvwEpyiVFzks5Dgyn3ipMP9YEz9eBGi
9LqKXTLHkXMvFyAYMA5GFr9qAsSwIPfcDh1xICsqkfroVFF0BcWr+krrDhk/XoqrsOFV3RRk3m8X
EoO2Y4nwYCelDK/IwB3kurIj+4qXqOal4u7ShK+Pae5ZVzKKqpdmCJsba2nEXRtzvT/EqQvItZ0b
cVHR+c9nGo/mTUXk1outdpjrwllAqad1Eu+4svHennJ+VgMrLBqrPn7IXZehrV66uWoeh4jrukhZ
fytFiHRmAZ0CmKzIg2NIN2LXex1mWvLQr6yl1sbVUHrh1RTbsEJGJ8/nV1SyFrlLkEZNSxmkgXmc
Cz7LhJB4SbjWIreuV2ERJQUrVE9OTl1iIa3EbF/Fdhl8qZwovHTsvvzqEOTldz1ykZUB0VUoP0r7
avemsQk7tz7OjR74IZjLsybn5HHOTV9cLWFdJIgUmj9/utK18KpHxrGsItemAi90l4mFWWeHJlXc
xM6jiYPVeQyOoBr4PwSDhwQhHDOMJ0tV9quF95w2VtE+zDNNa1cO7asMLXsdBHN2EERS8JT3kRIr
g2O8jfNouP9/7J3ZbuRItmV/pX+ACQ7GwYBGP9AHubtml0IK6YVQhCI4k8bJOHz9XVRkFjJVtzNR
7/USVQlIojsHo51z9l5b1D2uqLHmQxaAY85B36o3J0u8B0Ni+QxVNSa3s1dWVtiJqv1arMolRBXD
k6mm/Jyul9sG+XTlZlZ0boTmQDkaPun7ePPYZCS3ouOskWky3xHHOqMAQ/NiTHAOQ5r2aOHKDFMz
kJUr4ob4i/WSn9myT1+kyURmGQFQnpaWljguQtIbfEWbD+t1EtUh/RagK5VnEHWCPQ+HgyDzEcOs
4UVnkVByhWromvmIG4oA7WTgTsJ9T9Y7DSTuNNas5LbIMzLuS6Q9d4YDQIqJabFmInVBoo8eMphq
I7v+Zx2AAmJ2UWabphybnwRqWE8iBhyHdtP6QV431GAeveae1WL5WduZQsBtVzh32swdfgCuI9c4
gtZ3MJTitJA/2nYXpPlZKFbZ8j4udmGcZW+ymvme/jGpoLnvI3AgQ2Orm17P5FPD/0BVHcS3kdek
Fwg4AxQMAUBYUhoA3wU835UR989NmlbmfWuQia0pKEv3WM81Jw8j/jU1cbRHcdeyiHm2T9+0dwYG
wk7wunRBfxOVKr7QRaEPwiu5NLw2r5xW5EPo+nF654lO7aFkd19apWFRLsnPnuxskCfEoWwjrZxv
rozdvVBgX5WAGIqzhaQxBMIXFucrZKIptjmyCxV+WJXRpk13bELGsBJZ9GQXsdgURv3QS3ENKi1l
Fmmm1DKk8Y2Af28a+j/mkGDyL1XLYXMP7y3kzATm4AUKJMbrZmpcT56hbiuSTR+8yEbhPeFzYdEt
MW5XDBsbyzWPbtqf9DwX25Rn89qMx/aqiv3qRAIvoQu2wxZQMv6jhfomIaEdkdfgBq+1864LgfTL
tC54O/GPQwx55VlqgzHpEoe7eGa/jeyNiLJvclznTHW/T+gsHxtCKpmWJWxIdVbPz8E0xmcUaOPe
n9TBgy61laMBQzFFthWMyxv9v/IlL0Hg8M7hJNmGiFnoqXA2/gzaZZPleXfMDahbOjIA3JdC7TsI
oZfw1tSWHep4h1DaxEqbdQ9DQ061M8r4PHQcZHAj/24AJBnSmJ7J9IzEG3BY7wk8cHFIU/9pykzC
xXWcsA9kKxeW6Vwj4BqT6zSgcVNb9jFyFutbYkbjXkP7uuhta9kGKQavUfMwdirpESbRKozn2btk
cyGeM+FeVO5U73mcWIBrrMFh7OHiloWUPzUstOdJCetGlnJBtVCKR5VM2WZiD7uHZOVelnCwnoCq
+fcz7p+9q7up2fvsC0PgOLDxp0n9WBg1EbWHoOumybgNwBHFabgCdljW1EyuUZl1m0kBE2OAgMgO
9/rgE9pqk+rxls0oU+OxOvR5U2C2E8ZVPWfT/WLazz3o4j2P4h4RVsZGzXXZkPnDTSnc6AvwTrYZ
AgMrS2AWqqBPzwHqrm1eOsFlN69x4mayS1zM0LnTurelcut6k4zSYmhREGY31/racw1eO4hQcx44
r8LEPGUgi501OyiDK40BsqIsLVAcqpAZmr6WUZ99LbHNXIAGqnjlkI4XNouipTGkxnQno1XbTjOb
qs7XaR4ObZaf5JiaZ5xrpxbqzyHS/UYHXX5dcJUvuwr6dSdwsM8MeNDBd/0Vfd859LrsYE2G/CqZ
mVLnvLV1tcKdIQ81ytMreT4JQq176ys4XdSytv8NJeePCC3iKzvW4rXo0H5mXWd88QvI047GQtz7
Q3k/e+xYirkl1JQIqIUsI+gYbIemAwRfnZ4Mpx7FVvtm5x/8HLEvi4ZX3xojuvmwmv36lvYNSkAs
Ktjqh6JgESKoOHsty6y6t5ugvPdS+shhCpLtIkuw/2FPIZq2y5L3JjIXtbEN/mCDCuDkkhr5MAs7
GL+27Hi4bilFDihSxM7a8JxjoQLeKHgBXnhb0jtbCguKa0xD8ghyyH5kf0xlmq+ohjifuneSm/v3
buhoIiCpLX/moqKr0C199GqS9fkt/2Cg1gJqcNdM0SvAJIpwEaUQBNQSde+GS/gdiXJa+rsld6uH
gnw+LhKS2Xrvx72u9wKrZbIdpoTbI7EHNjh1BZAj8QbI0TKuo1fMVvyOVBOBevghcncrKpPbqHJI
Zdzqjk8JCxe51LZCpeWHwp44aJaKqrtMF7enbjQrbeE7RkEaY92w+MuLAf4POTHtx20i5GwQuL1u
AQh1Y/NCMSWvssQU1dZrSzatReRxlQwC7PASTwMBfa3GeBsPKTBzANblT3sYOOrQkLW4HYUjX3+d
TFcbMXnujCdTiF0myjTfWoCFUU/UFw5Ivw2Ztl2+oRfEqYfPXj246McwIqQZ7R6UBSkFZo7qVVl0
gW7xwU/WHusrfs22rx/cEUUFl5B562aMGr5fjkEoO7Yk8mWXHSoGfVHOCD+IU+r1T+3RGw0Hm5SC
a8+wksd81vZFNUAVL0mXuM/BE0QbRd7kI4Dcbj5MtOGjWzHwpQ+2NvmM7Mr51GkVcfG8eaoM5n8E
Y0O/T1cZK57XeUtfhrOojZ6fXyogMSnVSxryYeXV3OnuRwqwniDkAbckG19sMOClU3vaFCbPD5my
rrkcKvp/JwzPBi7jumdH5wJGzI6m19JEaZmtZCwuwEZ41AUFNy9h3l9wBkyQHFUwIKuyFzJMbhPt
QLtZt5CFX9k9dDo7+YII2N41RW2emEm3h7EcnPsyDiboNnn6tCzJ+GW0hf41BvuvBvWfNKhImZgT
/6s1/G/M3Mu3qnvr/iJB/fUrv0tQJYpRQm9818TFKKRtMbD4w11pkjDk0plgUID67MMp8bsEdR34
/+6mdLzfEFZgumMbBEiXu/Y/kZxaYm0S/6mvSz0rcbXR0V21WoBfP82gGiZuRRZP3mVpq8DaMKez
qK8tIvWINO3AgsL7pr3NZJ/3aB3d1KRHu5vWNY2WfOoeOetDUTemUZ46upjttDPwLojoEEQDT/Lg
aBfhakOY8k2eIOjw94DXSzHe9DwnyP9n2yejDZKG18f7vitK70qLpvuex+M9XnM/2li2QS5J4vn7
QkgJz6uB0Wcv84MRLMjCiWNMUSlJC6R8iNImWy5sq127XpNV0A7oTJJH/Rac0aFogqG5w7mYP7RN
JF+6YnGSTds1DFXaVmfqkmKY9IB6ll8NlC01h5i9ZTdhKiEjjG0FpdMM4hqsRXCbN5X30qAE3xqy
Hl9TLbI7FmnQkcOMz7FNeJ4zChMykR0GLGFfG6AIlrI4ZkORvIIPbr7anWPXwJ1S+b2Wwfdimm/Y
stBL1DmYMv6JrvXgOZS9qXmgNW/t4IHLzeRguEN7JZv7IWMLuzGJm972IzQTurS+LMMaxQLrQ8T4
f7RcfcCMVSJSG7ontPvREdnPeLHAhr+XnT2fDFLPWPFYt4wwwn9xwGGRvnM/uPdZrrWz07Vt3CZl
FTCU93C01JN1hZm+ekwWH0oU3eq7ehE+xKcYTb4IehtqJAGHBh5UgAiN7dzWggAGqQoAKrQyjjq1
CNvu3RkU7iCGnWVXA80aUuZGI5r2zoiRFt4s4cXYQpZXwtjVntB346IB4nQUeAy+m6XtHxPAzg+L
OUc3eMrrq5qXFOlwC3qTaVg8ZMZw5UWP9D/843/7nOUwuTZcG/sw5MXyA3WhJVX2KSPqaKxO7HLh
UW59RhKZ3NutcQ4MKxhNsq4wnSyQSSPL/P6xTPx3Rf2nFRUBODPA//+KeiyKtKI1/pc19dcv/SHr
93+jc4Me2XJBlxG1zt/7fU2V1m9I7Dw84xJxwy/F/x9rKqFtiNTo5gD55u8JhAl/WmPRATKdlKuT
3cQC///+71/cnt2n//7zbBBB7V/XWFZzXAM44xH7roPgD2vxn5RGqZeKrLC65DQ1oNcoawkhcyEg
XSIzIguFODLBEALyhcobej/r1BX0iw5cNAhkVjeH1iqRGwV14Z14akW0K3S9jGFvmtM9OKdSXFgZ
CWH3ucza54adubuhHxATHR4VTG6AXROkMJYB4ekR05JwKGFr02UePPja8IpXA89yxGbVE32e1XK3
FJjUdnrVkW/I4aR930UKvEdgYJXNZv/7B8WrJwBzFy8mgFZCCEg/nwPa41srHoV9JW1gyJ0svesR
Z3VY6uHc0avd+x3yknAutOlsXc9KH1SWzfdTYvY3bWyX5xVJV+38qTYosYMpdsPKNeMg9DJ1LlwF
wC0mfoK20XyIEbuebNUSdpKwNKU8qUTOguAmCov4li6h3uhHO7e2UICbveh9+7mQTNZTpy0eLJvJ
oEzEa0yL59Zl1d/CwnDuBjtrj7qexTax7LvEWzDFAXXeGTNklEkZxZ3jG8WNU41n1xzBMxcF/U81
+cl3Oh7qQiD037TsdS+tsqTF4U3NWbfYOsMhSeNryhBxMyar16wfluHKHHeNXdc3kWrLn5n2JHlK
gteci7IvZrxwxnby3Y1AmgCrjei3JQ2FIP9Q9j1LsJBh65dEDhfuSY/gl3168g9Z2zlnZ5LTpaP8
8Y55AA3fPPmWIah/I1V73BJZdVmY7rx1qUdDDJkCaJMy7nU9lQ9Fm5ckTJM2ZzsQ6nvOCHEc+X1b
ZP2NQYL9hlSc7gsokCgUnT3dzExltoqB685y+aQGzZWtqaP4cQl8qokiaKjPsqqW/NksA6qllHXp
JI15mjHNFfz8bTyI4h4LKEUUYzN59pk73Qes1SHO3SwCMrIsN4Ti9JtMaYzvtHiAcQ7V2bS5o31v
6K/sXIjLGQeoah0Cebjtr2ssHy+6BY61w2uWnESWWFvmDFDvHUeLbZPn4wV4XwKsmuHSw2ZzMhPv
Wuuuoaz0KhrbNdDyIJuMg1MVGp8c9yCDNEYRQwRpEkPuk2EUeyBWZ1QU5j7yL4WmmIIzBSpryO4S
p701oBdYWK63shBnqzGLXRWo7x17CoAB9dO8quGwe76WflsQZG335BGk9qUrRuqR9UrN70YMg6le
o8aXwXwWg4QWN8vooEZtXI+BlLtoUPE2M8ULi2F3a6ty2htdW2Mkil1CNDrxJGjZMov0u20ZIQ80
HGK4M+PkoyYnp9x+oe3X7Aa/bC8wBNs0Ck5Ln171JTHmTY9WG5BiFXVsMjxJXC5GxHLKyB4B9b3P
x2zaiDzrzuQDFffsHeIj2jiGY0vuHFElT/flVCwXFe/fLR3L9mLJJ+9atJqWiTMe21lE+Xa0uvF+
FP3TQDLkwWhm92aESkzoUVh3YjQB1GFVldvGInkdlvXolFcUbTdlG3zDb+nuPG+RjxkcuT3mFOjx
QRrdgdhOb4EhvVVCiaPbAJtbUuvNU5qQ+aQ1+9eu5Ssz5lHbVhX2JeD3co8wj1vajIsN+9WCmVlS
3M0su2Eysd5hRaN55JMDsAySvVjE+gwQqr9K52l+lTM54rTszOaBrvdDZQI6iIOqvK1pSTDWlsWg
7mI3AuyniLm6UET6qbBwSbrplqw+qlzTZk/hT2/J/JHnPvN/qtocN7FN0TwmQUFTOCCuCdVMH4TK
q8o62ogUdVeMnMglJVqlnrG3FsZsgd2X+zmhr8HijnpgGp6SYu4scZhxv57KykwG3i1G8z036IzC
K8nQakzJaHu3gKMZcGT1FBxy4P0LHOfWu594YT84bcQjko/cese21+7XjqjyU7KURPJghHC/9dz9
RLMjy042lhH5gvGP8s8N03+bbC6zPdV40U7NHBl7sPVVfIgaEOGIRG6TYigeGNQ4cNk1cgUy8bhx
5TImL+h5up22RXmwAEa/BdiHZMhMFa1oPPfiKnZaUvR8tsFeuIxYTrQKeD4crXXIZB94FEv7zyoX
JqYzYY/Xve66O2zUjcl0Yp7aEM+qAhHGFGlapZbDs0kH761pzfSFdzJ8VGrsa7hm5W2kXfnThKfP
FLuIHIyzuX42SOu5KU3/iMyq+FGWjvfuVtLFTgrkYqDzq2FgIUgAza+PJavtpmP/MG+BbQRr0ABn
EcluEjwNenavCq8r3o0MbvapHGx0PZ5Kx/uoEd4T7xG5U9MCnm2ebWMD9k9RLuWAAo4tCTvf8zSV
gsUoBoCXV3oVVkKnKufEuEszr8MI4JTtCzPv/MYpwAlwF/ds4m1ZLoCRm/xdYKfGrUy3qyOIjGT6
KjrmFklu5IDysKq6b26XxqHRguM+gGePBKLczbY0r3HMjy8uVeSPKEiaV0A+el8ZmUTnFcsYg0gz
GyfIC/oOmQztFqdrje/CnLFB0WBF6MoI5TD4zBsPvjGqVxlPuO1nCtGjsiCUbLM0a/D3Y2h/boJU
iDConf6cCeDA9JqdBhihKo48c7RkBtuEpjGLqQn55HLn+K35Esk+ErsqNYlusLRBuGEh0nMkFWQN
VGmbahhA/AO8hVjnJFkQusyQN05u+1fz2DcnshK8raeEuZ310AE75IYD/b+sqnCxa0x4h8w0+x1a
HClCVG/3lF/9tnNdeVUYGmyWD9FrO/mZOna+IEasLKr2JW+zHnhOPJBAi1az/prP0IF3Pa09WO9Z
s/xAeORcR+aotlgBv4k4kV/8pCrfaiJU9k4C/XPLEh+RfahzWHIohVgR3Wk2jynyv2tJofaq3bY4
qEShgrRjd2G478zON39sk8s+spwn2ScAWoPSIdO6aXUXVrVdH2gr8X/zZciDAy3x+RzkUaM3E9yE
Ny01Tf/KVa+xiPp7V4JY3GSTbb4MCxvIXWyOA/eS2Q0hXGPrXTZ2Q3h86cUkjdRZ9BWpRvVlXnqv
2zuAAS6HbpgvdGYYTECo0SkbnfyYxfmdSTTW16byb2KKxzopNa1zYzeS4LGp5l7ei16aNwNQuG0s
Ke62LlzpW1rHRhhYsX8BBsFVodtq8Q0Tko3kFrf5E+mzPlL5cmRWaxmORQZ6l5rMReL4puvtZTfS
BDnaWQG9SBDsviin2A+mOVxZRrLzhrb8kWT2gCRu8Hw0ZtT/RPCAAci9vv0Su370jYZCtNe1CZ2N
q7msXEgxXCf2lENucnJUH5FrEk/Yxsg+4lxk71gPdUUcFv8oIylYWpzxukYn91xEU/GYumZyYaau
QX0QDVetmgg2tXDeXeZtKTcxDZGkHONTwGy221ewMg5BKhvkdHacf+2wCwGnikaIJ0nqAkZVyvZ2
TbQsl7lhqdNI7+mKb1hc2SJNv0dL2u9LeAroKBq9j6VTHZsidrZ2vjwrSDYDrRqrfYudxr9zmsb4
QZRi+8tj+98q+R+qZJv+3N/2HW9+jP/nBbLnn6vk33/p9yrZt34LXHy0PgXvWiT7yEl/r5J9+Zvv
mYyoWKMYmrF7+5f5XbiknrvIxTG4k4rsrbrP36tkYVJ2S4ea26GZ+WGZ/1QV/12V/EnMCseNXjrV
sUO9LgH1fOpDWgiftWnG9ZGHOU83eRUDYoTRe7OQ8/IPFoBPPc+PYyGCx+geSIG565MGWXekMTeB
VR19xCc3i56tm2xw5NPMGbhqmv/UXbEeT2BxsFlecf0SVvlX7WzLPttnEsHxSotx2WgqhgrZRKB2
P63KgT7ynJ0zBdbj6DG9+lO35J+lyevBEft7AMy4evSVP33ZxjAhh3ZtdVzavn8vC8SmYWFpoNzM
b84TriFCKM1/MpT8L6cY9AbYIkom7rXPcmHmJVk7Bn55bEtrVRkk/bvmXQwOPkV1EJvzf3xA3HF4
77mJ6OmQ6fpJDJ2ZxqTsrpUwTaL60g8Ukke0X7sycIxXh0iHl78/rdYn3wrJP4zmEffjwOLk2p9t
DmygzSUmGQlz2ERO1eBFhJsuS2PqMBgFQ5t5SK2boED45s+5dW60Wz2RdwwaJMHJW5Fy1PnnfrYh
S7XaHTTD8aS7sijav8528A93ASP4z00o32Usy7PPhEHysIu/3oQV8ThxVvbDwcWsKB6N0najyy6G
NbiPa4a/ZRNb48lCpl4ATOlJc+UZnM+GBAJnUxN7pw/Fy0dmVMx2zQuZx3Ivdag8LsslsED8gvk6
acAn5e4jGRa5JeeBPHWUloPdMRg12pQO72wvRPUw/7sxWt9oqTjN+lIZMzz73oPLT6g1yJoWMdy3
QDuKMVy7TJr82YYQ1NZxpzvYxWQfpIHO5SEztYFdKZHooFBUc8tFWUOJ5nezwSwawLll/eAuXUsy
K02z6ZrXrxb3UzWPVxQ/UFw8N0OnhjeK5Nt1IWjnkueUzQ5kv7Fnhp83kKinqFEvAzq1l6U1naOn
c1JcJw02ko2SvjO7jvaLbBaWLyKZJLzb1n0LWoIM0B0yMS91pF6cpJ/ORmNYj26/qogWEnLAJdnV
sZrl9OKhmRw2vHkREZAHMp0H0fJNVS5G9ocdByR8FLEO4hPCu4PRfSsGzmNAvtld1ArrcZBcNAI/
5RMKW/cN8fJ0TuNO7hpndJ39XKfE7MqJlNqQzIXp/OteTbKY4XDiYHu/TteJOTNJ5pwYWtSLPWvM
PN2oGekb7ZwnAOKjtDzmDWTdntaRDAb2p3bynOhRPgWK9XTb5wOxQdjHuE905Ym3ugtIaYgVD3/D
TFrSDCFvtMwAU5FcSupQrowNiVL1ZUs3H1kg2Lu7YZhXoZdnc0p5uhFi0W8oN78iePVHnJlMLPSe
ySrHGNX6XUchC6bSdXv4OP9i6t2NMwRAvRGG4D01ko7IELaIHz/TR1G1KWczY91YEqToWt3jBtLb
MZZyP4BAJmF7fTy8PkeBjPo9ii6tTpsKU9g4IJqcAnleuZHw1frAIfO8h4OX3aDh7JTLFjq3pwcK
dPTINFynSO8JwJ7DyDH4BXiglnkcrd7XE6EGBhHOHSHXxgVdsWzcAu2dozNUKKB+Se2yba2SoY+u
bLB1L3AXxneNbp/wLHQ86d04A4987jj9CfHAlb7o7KTCkGvmKPYCTYHIyA3tHtB/ssIeFcEWuwmU
GdmrjNWkg2+DJsFxdBqxx1vp3LjU/hutx0NEP+MSsdn06JUDkhkVpVx2YyY0mZjszk+sr51pN+Tj
zV7Y086+NbDqn8ek6ZB+USW/9oIYbO6vboSQINPpEhgiOjcCEmijmTZSF7Neboh4id9JvyVsoUzJ
0EsT70aZEJ1CsrzQiFZjCbR7MoiKXLIYghf+nneZEqO37YwhTrfc3PJE+YEHVgrdydDy/ejJQZFQ
bS1DfOmTGJVi27xVEKJuMvqf4tBgJdH8oMNN15or5GrOMVglFv8Rsi5PZ15z3Mt2BLn44BkRb2l0
kRdz16sX1+rlExX1kIV+HJS09bWezgs0FgZt7C0QU6mXGW8I6ev5+DYR0PyUuR4LZm3nj/h0s+es
XXiw5AxhNjIJSEkxSsK+k1hKpYyqLa/R+hFs2Q56fUVCIjK0veVgqDmR727K56VT1msJsIoGfiKG
4EhRvzjjxlIdc7QWr8nJsx3n2xJr1yPTLD8VUkVXo6Hiuxb1zTEG541yuHkq+vZtLqd19U+tJwLh
hm02cJ4oK1YQp7LSk6yV/ToYjIM3FPiU+XL0H2yyTH1sCeMRFKyht0QeWRueSxqhUd0Ge5TiFeM4
5NH7RdhPZRKobT11GDF0mWC/mG0aSUbBxDAsnai6qXxDfCssh59XvLHaL24i7eibDEZaI02jonq/
AHADax/nA7iELjeuyiIdOHUlPdKld+OvGBjqA8qZAFG0Y5KBQeaEb6k2J4I76l5oaLEXUb2LxBK2
xSa3NJe1kYg54coJFgtBrOFNG3TzkZjlgKb3zGuhrMklN+jJvJsFChA3wp4a5t7CTdMgcj13sRls
48lYb6UBBTNs3zWEx16dfQ1kkS7MJH9H23warwfs1I1cmk1RoHsmjj3jMxGKiI1L4XsGeFNxC05O
LK+8QqUlwa05632r28OcaNZB7cZddwEMKLhisgo2Pqg5csbLhEaFj0RKORzec4H8X3zAXOHEphdO
tIi3Zc5Y8D+WQKIJCab2jVXJtULzkrt+rAJigNQorsZhMElod8n5bHuje6+YB6jQAnrg8WZt3De/
4P3YUVKT5IxjhpxmGP7JltGuz45hpq65+PWxrIqew0WTIKE8RYbB68tHKnfZFC1JKDMK4V6vyq2A
EBxrKYgIt2lAEu8xzKWYri2PGnljtrJ+Ge1GJbc24SFcrFLxXUe9cMiqTWf/LBpVdLwtPLIoGDwk
ccMQaAxM7fuI2oR3GvIuazZp484PkVG7L15isbDOrQGLXrVTGuYFkQO8Mqz4cfQZM7FuFt6VWJyA
jBSKZvQOhnlSQ2L87Fu0k8kw0u7nM7PL+Qi3t6eR2yKAwDogTOitR6dtVrVgSzTKvvUF2fLxlK5n
lKAbUHwu3pzNQMecF2bLUvUQrVc0QyX/tgwld1zRcRkNa0V00oowW5JTOmWkO8z2kfkEuhVcMeeJ
reWD5yCpfSA0k7nfBrVonATnIsf8yatKSbiUvBqbOV2tZUZsfckCdssxUQ29G/oW243CpImemvTi
N1FRpogK0DyOHqai0pDsQXw7MU85Xrsbp+w1iu8En0wyEyCIQfFUIIi/5vI3Z4YmyTHXCZmDhkQ+
2NPT013Cq2cOykMMMoixJwkGxTC6fA+8SSRUQlD1SZuduwitt3OPiSbdOm087C0ztiAQWmXYErR8
rDXRxoQGWudKsMSQY9DTM9UkPdKc7EP4oPlPIxXuPtB1dMD2hVqibzSK6LojuVVUP2mG/DSK+VZO
oFC4r9kYDI15i7vDvHVL+koIzjdeN5eHCfPejr1x9DB5w7zPeIlusyYZd5PAJmD24ho0bHXP1ea9
XE3FiTcfCoQSXqC/DqsCOGqxLK4H0Dt0NZP51pxV/EWRAfPS1rZzU2smQBsnNtlAQsEsZIFWT985
pXVm51ftbGM0f7r4Mk7rwAqud2nLDCVKhXAGiCoByD/cxuOCiIFHeI8TdiRmdTCLmo22oRVWr4iu
3TzodQVBLoysNBlYDfusvkTibiC2nxt13eVrgGyZsNqkHhaUzaKh8oQ0mhL644x3sMGz7f6HUnyt
Ov4kPxL0530KDpfGgkUL4nPZT95OJnnjqYNyPzb9ekK72K4b378v1/6t+uFAoD7oZVD2Cwq3v1Y/
Mkr6Iat7dSiwLRA9hQ36saHnXNDit+pLT6yly8dy+PfHXavrT98PUzUSBI/KFLrQp6qLkrxwGJ8Q
nZAV3ltvwIMtu6mY9iOkU+JPymo+e17CWtzodZf790enb/NvR5c2VTEPOB/is6+b0BK6J5ZXH0Zm
TXa4BC0erXXVZQTIat/Hin9N1VKWrDtvCIEs7h8f4b8du3/q2AniDv50tf5NKXibpPVfunW/fuEP
TYv5m2tByzUR+qIbR1b7r25dQD4DHn1U9gHoSWBA3Mt/aFqs36QP5BlUJRYScJTOv7p1TvCbI32T
4AamAvw6Ta//oFv3GWwgfLgz9D6gIiG74b74dF9Ho0HkTeW6Rx5YQGLI7nKwvio6oXoEozG73bOE
fL9HnLHsrXECnF2wX5YdBiOX2feL8LLuGeVI9xzzyP8DZODzU8enQ0ZJ1eyueE4EmJ+e9iFoI2uU
4ohrun5DbjvdfTid8D6sO7G0mC+Y86xEnBoq7Z+u4v/Sb3M+g4UESCqGr4hswDYEnnA+ddyixC4U
lM7mGMW4YjH4kOWEvvo6l229jozIpGfwSU6vM3v+5SRkioq3TV+npVrefYxTequW2TnFRdzt4H0W
F33RDvmO7YJ377N7nkmj8d1jRK4f6HWHWbepgOtiwqWrWEprQ+1T3ib2TJXqs7PdmDjqViUgBfAw
MKENGZYYKCDotoQ68+wXhtM5E/YsCbEi0T5jc75r62I4J1VX7dHCVDo0CLskxpJNcrJhPc02TipW
YFtr0JnxH4dpaYsNlj+WFN9T1U0rppi9gUEsUFs7+jAjSN/kxuKE2YKDPlz8UTMWj7xko5Iq2ZT2
NH+tsrWKMjppXSGyjuj8zP1zgFGdxDezQIJnWsnEJNcNvDWyamYYXngXuIVSGNb2iH/Ms5uzJKPt
nmIqXR2+jfmCPJpI18o32y0mXrkbBwdDOk5vhpYpjxJt0CBG/940Ho0nkfSP1lBD0Oz9cTiiLCvi
LTVMf8bLFDDMdsYuConFM0n5yaOA3KQ+Z2flesoydiJenMtqapkvx3GKi4mJIyN0GOhcVtQLB4SR
NgZo4bXh6Lpf/WwOcKV41V1etdO+ixsb54hLUA++fFwuscnI30Q0s2/7kfxuNFQXix1QKCc2Zhcz
3ctea7jdljzS4C/PCw0behH1kJ2WLMi2AaLUN3oa6rAg+9rJQvWHOSVqYN/bRAOEwKVnj9cPnZKN
bqruglRz6zLCV3CCoUP5zFwLR1QyolDw3eQHMgx9a9XWhGm98ssfNjvatc3WOGHjphUzbCtucG1r
gEih57detsVl+EDpTU9hyNOB7XbG4G98sNoynRT0tqrG5OFEDXAoLOVWGKg+f6+wvZP12LfZhW3W
43uea0B8OmfiRxpVpbR53TWyTd90ii/2ICst7NuOPLXTMix4REwws1/Xrh9Sfdeu3xa2YwMypmFq
eSoao/9eRQP0plb2gMe9vhbprh8ANOzqKJiv6WJV86YzfYIQBo1j4mGGojUjmli1TEaE3xWHRwsM
DvZ1rF7xf6BSyQ2yQUOqeWy18ZgD6Eb+wKugr67aZEzVtjGd+q2rCU612rngVp/M+jhTw54tn0Uz
nhK+P0l11S3pjz6xKDW2ZBALHA1efgSFLHIf2mixkI2RGEzSjBYdziiPoWGbgvnbTfHKVqyn5ZDW
I5E2kUvNpG0AwtLVaJfw3jjBrjMH1L6DOQ3fzKwdzGtGlq55I5HUDPTaVP3WEpNM/LpR/A97Z9Ic
N5Jt6b/S1nukucMxLnrRMQcZDDIoipJyA6NECfM8OfDr+0NImS8lZStfvnVZmWVlqURGBAJwv37v
Od+ZaQ6xlPt88gggV2+iQvZYR1MgAkuu2/wMJB8gxDpFtQtqRwdmkIEFAaI1vdh934jqxiNonv9K
6apZ3EeTDEkaL+U8Du/RN2VxS1S5Xbz0U0etTsRNe1s2pALWyHspxkmJM3Zj38XAr4ym2teemd0v
wCa9csoYVQQJnSgh49CENVryYBE9kt2ThVGjN8OgYm8AlQ1HXS6cHzF0UX7KaT2TycU74N7N0QXB
GPOGs4VehzxSZQf9pmgb93djKEYGw3GT+ussnAtJKjT5l2j5yFRZRbU7fiilUZ4jh4TajUcu6ipA
bMpIF5d0Orblx1Z2bwlJc46D7yf2no7ReOkdOPMbI7WCAV+2VyMQ8OJ8WJmlj47HToKd7EV6F6kh
QONjTMUpysbmyUx7vaTa9vYnm67qkuAso105ptvELI2ZRD1bnyx6t7dBNESn3mVyzsnHy46atBB7
6+kG2Z2RdUffNPEicQOBZ2CfIaoLCPuGtDOODRw0XZOeeNt6q740ibybOpRO+2JUE6vf4CTNhnUc
RFVoWzsdsOC3OVbz/xSO/50ALxNkFHX8/18Qff78sXlpUwhFn6+/7/j6f/73tx/6w2Ri/4bBagkp
ovdDD3P5fX+aTCxMJpxI0ER/ndn+WTsqMOcUMxxJFsTP9bDw56T339SKJjHv3x1DOHAx1JV4xYgM
cxYw2PflWEZXkJ5+NJxUPvto7+e0MRdJvrLqhFsbb7Y1VfkxHoLoc9QbyJTTOB2fbK9xjotJ702W
ewHBdbz9Ja3FwfneOiedEDdCt50cIrMlVBg5U2Psijnu31swQmjeuXWyYeHr2SG9+GxqT61TG/rW
imhBc1tJJgH2ZCuCQHPM+i6TMARe+UOaioIeGHoVv3C4+4HwpIyExvGGxcfrVxoaxntRj8FzLyLD
RCNU+o9Z5OWPjdk90wydj0i6NP1GN3xwant+FDJrHnWogp1Cb30/06HeGqPqbpaeDMgXRYaFIzW5
UdZS6OB8feoZVL24bl4DPCmJObVmJmM0P9sHx3Wid3We9hORsgkqoHAwd35EY8q16+jR1k6yHcSS
b2mIQp8agrFOXt2+pUVK24QZodusrEGZa6GqmXzBPl0LqT/CnGGxUEPaHoQxxKc6LhL8Z5Xd/k6y
yIgClO8Ql22Snz00Izuji+abJrc4V0aTCjcEIrpIfFPPY3c34gc2HMJUsvAefEKycxMNICWyk3UL
OPYgxnI8sdX1p8KQ8TmSucNOn4/TG3phPRAQH0S7k5r3nFbbAw3i4s6txXiCKjkdcEWpl8RSJXHz
snvDjDbDLpcaKVnJFA6rJjK9I0t6fzcjtd3V0jU2RZAVF6MT6k03Wd0H5ZvZl8lsxZM5gCR2Ul3c
561tnFXs7kJbdO+5VtTZtS78h7r18vcUjMMOyjN8p84U27FI5/0oCNoxVKNf67Ft79HmlqdEg1ry
1YA2M+HGWUJGff+TUgnaoLqRqG+ogMFl0VZJtziMo0vBNCkFRVBDYQqwyeeiHHYegJQV6oWXwRy8
24Lmzd5SdnW2Ghmu+4LulGHOTOzaUO+0NHy9hS+VnCqi2Q5ZWHkHMaA+RFSZPJDzVXBPhfN9igmZ
2ssOjE+o5VAbBmEr/VU9Ople0afpb4vYcTn4RtENSCyGcHmQbBIjs9/DwxLv2Br1yfFTQHpWy6DQ
ZYa7KlEDXRrylT7UWWVS0GSVvq3sOHwCfGTfL3tb4y1kg8EtHoDbdI/mELE12qqbVv0wk4YtZcFe
VNY94tpO2xtM8C5CaxLPaYUT03HEQo/4ypfN0Z6SlvFeLZkeBLomdJbAjvyZZaR6mHBxHwrq/S3q
OrqYRiXumE0VCLyHipNQHQM1old5n4d5eN9EFryy2lG/E8oHwYpnW79rg8hl8Ov10xvHSYF4V0VG
KkkiowMtuPymnwfSg3PDHZH7GrWNqLGaxH0SQO1dU8CQAGKkzHhcWdQVx6AywEZc1wErSVzNmzkv
XzMpBPuqk+s7NbucxeLUjukpToPxHKJFXebG9MJwgYZ6o2JJcxCze23u6HzOZG16lb6YmZDvmjbA
/R1WhFrVu4wiR9Amh2asmYyoECmwuWuGKlyUYONEeN1Wi74Vb8CvUe+/Dd286h47Al2GQ4kkOi5u
5spsKSI6L8k16db0o8Y3TaJD75MVpkFUQPTNxGi/zSE81+6WgsJIdwai5+R1chH0p3tEN03DxsXm
9p8G0j82kHC//KoOuG8+h2XxXRVgXX/kWxUgpfMbWz+WKNN3lQP387+qgCW4xFH0RCkRqEaXAuGP
FpLzm+mQVoebUCwJnyZCrT/KALpLlOcuzGeHSC9H+P+mLKDt9ENZYLNiObSrbKysSzzoD7KotO1h
zaOef0hSDhj+WkGfASQRAhbxg8qyLpZTg2opM0EwdhDANgeeOcTOOsWyPRKBpiB/rFySFJaJZdqp
R4TxcKfe2Uy7UyLdkEGy1RfpgbpdjA9dVovXXCBCZY7RFvhrCFUDgG/2sgwB+EZm6g370rdg7kV1
cgO5QH5RjPHKld/W3kdjadBqnqQbN7XqVVmG7N2dmz3aNCj2IZHbG+VnkEDSmPNsoZwevAuClBQ+
QdVg1VcW3AVhfPS0Q4se0gTWf989O9EQH+N5Tk46RRfuMnT+fVyOWbR1fGfVFE702Lheip2q1NPD
AJXe30BPgkinKj4x3Zy540TH+rthbBzd1gF9miEmQwmH1Md4HLq3LSCe5Gzj8Ny0ceXeQ4dmmjPF
mpjgzMGw2jECRgrga59Me9HFE9VEx9icb2J6H0xlQTXhD/DWdBC+cS1FxElbIh1fT7z9Y+wE0e08
av2eCYW0946lxTEs1LD1nZQYaSGTXO5cCP40h2JVvZsaTuEkbzNp89whvzHaQixgIQ9PZh7MBAGm
owtvAIojG+kcU4a5Go/NJuFY0mwcQtg/0ESqnQc+CfF9Js0Bjbsm0ptY9IrjLSO43EiiLzhqGOeG
cXpoY6vfjSGBmTYhfRs6PO6lnulSIatIw405deUldfLmZiot8s3zWl4M2x+3xZAzsrQw2EH/sJ3X
sfJxlPHQnBlqzAvmD1tHugon2iW7ujCqkxWKZLoTRS/c6gZX0khWtG8XredtuRAWYA2ap9WDldZR
eQRvKK2VUFQL+Og8hi/481pGr0EK/JJQPnq56aqivrY2OX5bdenbkO9qloP7hvlnPG5cQ/vVM5Nh
t2YfbZGkR8AmV42IUCQprTH8OCby8JukDBqmyVUYvUKXJQ43yVwSLjJvyo3TwKbdrgntLM8tRNgT
7pCIkJVifDFhb1SrFMHLdmLgOh11ODHLa0uzQNCfOSI6wHBEIQ47KiPmXU6dXI9zaHQH0eTurgjj
+IHkUUnKdj3A6SzZtHmySdhD6l9NcbcB+YGogJDxYTjN1PD1BuCOWpcR3+amGvKli1kYDfDGJdHr
AUENCfJN3ufunZ7z8Zy1ttg3qdtvolCRaC7kksaXuOgAM8ONz0YJiXyHTycj4FEKp9nkGXwRk+p6
3/m6Dm8s0aLc6JL5QvvwkwFNnWcKJolee5g17XNXKvL36BXlHRDKqXyvyYjDd0Dy4xPpgma5t/Dw
FXv+kOG9bxRIpVmJpjeA5UB0mLbDUI1WlensMxGZ49GlbIDMXjVfRrQpds/QV8V2O78ZUnOoDiMs
0xIxG4xPrzI4t7etICs3MS9WMfI8kvOG+SpBWA8Bc8n2mOpkP2vl3ST41tONNxpan7Qc6eeqtpix
EjVs0V7QLnETAUIYvqtyF1ZzsjFnS10MSplhp/oo28CKNm9Lp8Ar4SWGvzXiigRPK9Jw2GYr3ghF
atOqSyH2fGygX74kojPe4qocPtDhHxqax5bFs2bpYcOEUm1z6RjdsQkXxpRivr51KF2bW/6CRVyb
QZdpxVwDP8LK8WZGcRABbBMNJZLhSqySieTEje5pFZutg4kFF3qIfIp2FiaxRpXbgMMDB7vSznvr
riyq3sNmEGRPcgrVM2DEdxa3MKhNYvf4bgphHgiocS8OEJVN2AXTpjPhTJG67optMXfmNjPsAC+V
Ju8Wy5t1znITiWaO11LejXi/7uZudpK9V5fqfd3p96HWg8/oOUYFIOMg89bDIDrkC0Oi+7u8ApQ1
T7LF3lpipizZv8KL1GgYkBxa2TRPh1y5ncsByTKYG9xg1xu9MwApuftPPfXf6qsosRivf9VXGf/X
4SWv2ihuPn9XVn39yT909OI3h1Yg5A1GCRRHf2josZMvWS642ZGDLabx/yqpaMcI5MmUVEtb5jrL
+6OkMn9jTMVfJ4SC2twU6t+UVD8N0+ncKDTJuNl5F7R4vu+zWGg9w9qj+5sWNr7tmS3AdMLnv1yU
v5lv8RG/nykvL4JC30dJwHjrx+yariT4mWSr+dCnZr1ia8H85i5UytTqtr9+qZ/G17yUxWWBJ0st
+hO8nZxtXSNMnQ96iHl2szi9NU0VAMyokPaEMVYUSQa2npG/+N70TzFdP11OJpvkEYDVYNiq5I+S
cjObPXtknHRIivGJTMd3Xtxufv0JfyiBkT/wErZPMi6dMfArP5TAzM4mMD+yPthyfNK2embwVa57
U7orMdfcpX/ezn/zzSnvZxWEtBgt0hEEhs90mfPFXyNPyBS3HO0To22NMENB9ULOK33YLanN4TYb
rLdWMNb5ygrJml7ZsPTyVQ0auFnl1NIN9SfKT9cMaRrgiEuP/QhsZE173kcInWWorTm/MrMya1mh
V478VUOTDttUrj6aSyLNANGxgCJA0n0nzOep9dGnTH6f01Au1Dmqe3+jolRtejHp5ykJGsQoELFX
OCgaNqDaz9FCZuE7pF5U5XmjLkEIM9XuivRxYbetBouin/jE8NwPTFI4/gZ07AHU0aKsd9TO85ED
+h1pM2x1OQR66vcytj45s3fpGsql0fLym0posABUyH6eOFvD5nfmzEDQUBG0mjLmWjdMAuw2GT83
kc/GkUT31US2dOyXzdYy835Lh8s5k12Wrn2wmDcm+5BryOAmYRi0rlv8vvEwfFYkmTzpoo03k0yS
8+zX4VPnWNm692jL+UO4cUukU3oMhsMcZ8E2wW96V5BrAolzJRhUjbd2KJx0S2YprnGO+qF/5Ajf
A24uXf+pdtHsRLR71ybhNaeKSaK4Lch+IFBdN43z1kJu+S5Kh+a+KCW/x4M9/VTKdLjNmrg/4LWg
I9k0Hfiz2o5ug7xukHgJe2sWdQr5HNoM7YPkoS6RyiVjIbeo+cwdQzkB5TTFhjHUGqhrbPYfehzR
9K/EJE/G7IZPSHdnLJglsXQgLzcRmul0yYHxj7OBnor08uZSzUXzgC7uhApZfahnr3uyepUeaiOS
d1Ir55AX3Av17IAY7wq9L3L1gaxAe6KL3Ie7xFX6YLWxfxFOmOwNVTV3VKblA7TxjYnJ8A7pS4Wu
vsrErhmT+kPp2PTtYqrkFUPOeE/YYX8bB2O6CuaIA4fbcholRZnAW1cu087fE+J2j/zYOz1QR+YB
crhqvFRT+jaRSKANbIxIworhtmtpe8cReizIe+PFCEa5NxVwHymq7DDlHf70qq1vp3LRaYnQLu/z
iX2DO9qkQ0plIC7MSaeX1igFxn6D7nmYGIizHXMP7yHiZEQbapMAbdthznSZN9a8WpiqkueFELt1
SULwLkCqfaMNL/jgpR1gRC/095CLx1udYKR2l1Lc8Q105IMIePZzY2ValF24a+m02qm/Uk423swY
P08aw9MuSBz/uSzLhD4s8aTA2V5UoN75cp4g8XbikeJfwF1Tv7t8r4aXhW/SpXimQ86zHc83qDXR
mgcp9mvL6Da4Esm192DdOXNyZ7R1dUnqINsU9fwahx6DqUikyBiCcDgGMH+20hAXPfW7TpdQOg30
2CWkfBgD/FokBvXbRhoukcrtaGyquil3vVmql3YABllGlbNFK02iunqy7cpfFzLFLwURvn3ojUq9
sG57xzgf1R71Aa3bpX8ZoZqlZrWq+RxkKWNFxUH5bSm97MSCNB/x8Ywr+qGI/FAl4JEwUKEGwBiq
wITjF52QXOwjNgBsIUwk0Qow4c1yWZxbAOrZYL4FX0hvgqjIdeg1N1bjGeRkGYT2pYYHZjr9HCDM
Xs91u3V703rphVV9xL0y3FeMP/wVnEtvw5Lg3MfwM0++I7Ojk5vNARpCuinHeXxPdavwfja8soDq
MtEJ4AFaGYVOvvi0fd/JsRZPgTtbF4CbzkZlaEtI3kxaCu1MoQuOuq1TcH9J7ehX2M7GgsXKuMzF
OmW++mxHdnGY/LjEXNAQDiip99eJxeqB5jPb97NrnTJcJ2hRqnmgBe8ZB9BnyBFq95MLKKbDlsP3
Xgd2cvQSz33KWi1hmMb5tjGtae0OU3zghA14xPGjQx+TDF2i2TyAS7TvHRCJGDvC8HePlO8wnvZg
HLj8IKzfog/KNybtMSYZU/akvJBoFSGBlBogKji0Qf4f8/xdN6XW75r2ydlpnPldW6hNmcZjvAI0
3Jx7WXW7NE+48yY3OQAWgbvlcJOxeUIZaE1EJU26c8KgPbI/jjAxFGtGzSjaue1kPpGwa2Zt/7Wu
+E/T9B+apvQRrV82Td+9UN5DVv6+cfrtx/7SOMXUimYTVB9WQosy6o/xKY3Tr73Ua2P0j56pz+gU
R91iPCQz9LsC3/7NtnBCoshDB2MRKvtvCvzva2+snHgpAcFz8qBDYf7k5aTDWPdG2zuXfMjyeV3E
uofJ03Zwica6/f3X5eL3Irrri9E8pg0MtgoJ3Y/ZRaGtLXCbnXWJDBDYhVWaT1M3+M9p3NFbc2Aq
fAgxvL74Azls/4OXVmI5xTDN5KJ+X6fGRip1R4jU5cp4LfyGFgRAZVw4bu+gp/c0U0dafAvPNVjI
or9++e+r8uWTu2TAIBRG2sUX9+PLsyGHhZ9k6pLlixfZMwY6NwJaU3UDJp2X07nn/UNs1oKR/Mu5
6tuLcqvg0MTrTWTV95+5qFAjhZVvXrBvmE8FpqOjmTszeGWChJ+vVhUrXuCjYPzoiqNn7l6dCsNQ
ZuDvWdcIYWAUhuSptMaSfTHP2Dw4c4BOCOxByNuhCjDmxTN5DCs8Q/RzdFbgPvn1tfv+iPH1YzjK
xYBr0kZT1g8nGm/0VA8Ky4R2YXCvANU46qxPNRNNmkdXvrFe/FW/ftXvT4rfXtXn8XDZHLDk/nDD
OIZgwGw38pJIjDzQDuM9qrLoi0h0fbkandmp5ZmQVMaqV/n7r1//5weTo73HgYuhCPfNj88Kyp4l
0FnLy1e/5fLAcKrB6zjU8vzrl5J/c6MoSZoVp3xe8Kec8WByu0KIXl4smL2PBtrJlGpbUo0ESrWv
zBCYGgtneToXTC+uEB4WA8w0c5bI+Iev++8+uBIWqyXyNPXTXWtaRunXIhCXvqt5SCw3yMoTwCEx
IA5M/f/BQ+Ky7PFc8h9GR8uR/S8kPVklIObVYF6atgOTDJNp/moa7RcLcd4QaaCGFldRHXOX+1hy
zjkwrnA9JZJhskzm8tZwsOiFtY06NRWmd+rSwd9ejcdRNGAlLKaEp8z2Cj3e+LSfs90/fIF/s7y4
yLotWtA2850fcQBJFga9N/nyEgQJmpPZxQF1vW90l1cfmiYnMdVDuUeGgX+6GqLCeMal3E5+faiu
1uSYAVS2n8cZw5XENvh6tRn/+n3+3dvEs4Bbgu4LCp4fnmQDX8vgBJa8QK3mgly9uTjoqg+SjsUT
vq1/urOX7tl3SyBaJe5q9lxsGsJjDv79t5t3oZlQ1reXEePard3l9gsDqeUfio56L5R+aJSD8yyI
A8wTYkjApo3j5JNGlGJeUfBfXlWJFToRrADC4CGIyRo5oYcub6+XiB46mxeZYnjvBre8vSIfDMxC
RxoMS4u2L29/fRn5BD9+LD4J3zMdPguOF+257z/W7KU+2oMpvDCCmDhnTnOzSVwjua9VNnWHYsA3
zaRiSLqNaTNNWcdDHkRIekL0jhm/W6wnzbHETMxhK3IQs8N1tBI5LeTaQobEaxuBHcy05WcfQwcR
thiM8pBMSdKdkBlfpzUwNKN2w7CMJyNZRjlsActUJ0HyZyFsufTLvMdr8+Rk5l55HpLArTde2eBp
JrXLeC8nN0X4O2WfRNoSsEYdQO7KNMNunzgTvU4wFJ2bboqKTdyxf98I384RBaukWuT39Fb0dSxl
LRMq20X2uMKVZ1TPfZHhdlaB677x4dMIUPsMgVeNOdS03O2QqQ8D64lcj870PtYGpKx1kbddeoCL
zdGr7nto9ya+NuMYoMw/mSFxK4x+gxtcAv6baRyIg3WRRDUXZFdM2xIaRjZdGBO6IZanqnpwwzxr
1tongHPjJfjYw6hn2025R9ypZ2jgAIjc1hhWwy2lgb91ZYeFL8eW/dKidInXhcdqQwnIQjwsTvQ2
nvixyUWbtglUYay9NsiIeZPM3E4o5tOenVlGaIrW89dJISYwxoZkn9QnBnoME8Ovk8Uq1t7RCuPo
DO+g+4RW3ylXIU486D9oMX2Vh2dOQyjEQdGBwas+jELM72XrxTfIh5gfUQd8ZLxZru0YULmLnXZn
zqr8PSch932pDBt7ahW9cqPoz2EfJNDOo7DYiJ6vZx1B+t0DxLc3uXSHNTdWLkB4BoXWHuFcBudw
8PpWzbGNdklYPTHGpVU7ED6WWjdFkdG0cwHaCZ8bIJtKd5O7S8LCCikWHWakN+hdFj2gxPJJ5DxD
cIjuyO6MyUFSm0q/eg8aGKVO7qdJsVhMp5xjm1iKnxmrWJmmXOnCGMpbSKEUQ6zg1kvNgIdBcDZW
0yoPg+wtxnG+sSno2BSmCZnz4C6+W79krYgn7kqmr5LN1EJto9boKvCrkOsHHkIuWbgxSIS1EI23
GX2Y8qsibPnq04ElO7bCS+96c7eeJ1gHgT0i/o8F9SowAFajHE7DlbQymjDkW3zaR2cZ9xkW65Br
5WBKGszyKOGj1lvDjOPXT7XNm+PEARrDBeHWL+a7dMrL27QgagvA2PKXysw/dd3A+sxyFtBBsHwU
6VIuQUUhfH4aTTGFjykEfzC7KamCHkkgL43JTo14UvE3GpLFzj2CJZ8hNe8qvAIa3FI/fptZGqyo
1zWSGs47BTabqAsx+hCUXvta05br1/7CnmjbfhGPL+8273ugDqAE9ENJ2UkDy46nB9TS/GuaORbd
RlrKhzAc5Bn1gjwPJNbcTuYonwYJgAfV8fTYxxw31JJ4RqqXfkAbhsv46s5Hume/cHrmQ/FI8kop
PbXXuORmSJZ/G5qpouuVUH2KdIDCkWErZnbSvlaL37j2w/pDAtBcrXXcTo/XQmGmdUFTbPHpmZr6
HqEZX+1CA9KkWrxaCibmOl7c+SVQnTOeBmONwEucSSFLyxO3Ed/dNZ+tKAGFMFiGlL04GUUiKMJL
hPxbW6bVBxB17OZTaoI+CUhkfnHamRbMUDpTecSUyDsf+BkChMpx0qfaaPA4XwscQih98hATwiyu
h5+ra29KmANvcBHTNbYMUrxWLvYj6260J+8U5baF+YPJ7J5thzdYmTpBWWgUY7JlKBl8zAyI4Kvi
+ghJ2ix6N+hmKYPYeRjLjxfPGuGB+C3fUUXglNnxP/1QsgEXls3ahpJQHXFlxHs5EafEMgAbhW/6
XLTKPfJxyls1GM5jPMEpXMEx490iuiSrYGTH7Zbb0y4yeRY0MjFQWIsbPRkoVy0vmfq7agyN6JBH
AWdA6TDTRXo/e2qLuIk3g7kBhbuVcs066fnPTIrcpySlubTtaoHZ/eq9z6LMfoGFxjXVVc7nvy4C
aab0I7kwXJUsjZFFoAU+MmHggXOWl89HUCnJ8tRnHRiHRNJbIsgDuzq71AFfF99qbLYIDNjIuQ4j
JeiVzoLLVz/oKXReGq/jeRVZnm/NeAbkEsIyODVNyzu53omWpkN8O8YsATYMZ/Icm4zFhwFM2D74
OCnGowfjDmNXbbE0mdDfDnkj/ee4mzXzZo6j7XZ26CuvTK+nBjLHMH8Dz8QmTSyRT6bhcQbwE44h
ll4AU2ikkQeakxzg1yagUqbYrz44YUX1XssR1s3yCdmJqJFbhxWoKYFdXA+8M8yID7NUPKIhR1SU
malYjRxpn/qaP2TawNeCxJZoFgRROGsXT+l125xm5NLkvBroHbyIzz7TZj0VJk1RdE45Dpqek8xy
1Zpq0P4mGSUGkmZ5O5HDp0hj8pGqvuN5LRaDcpaSByXmiexWV81q17cZQX52G7IcxfiY11+drFHb
YEGKuOV7bnBgN1G8kLZGZDI4oGwwRbbfZ/ajbsYlBW9cnPlGI+wXSy8rC3/bfy604Nia9dYxrUuj
3DL6HLObHHVtvs36yKzfSGGO3CJByoVG2S3PcXJd+7RJ178MAXZgVxrC5UhuEVG2Rj9S3l4vwNe1
aDm4DwtV6LqwNqHLjnO9d4NwESvoDgamduPpY8M2dLnen5bZB/uERsB+KGorvXN7j1vEE31zAMky
3ETh1Hjfboh8zL0vlQuadE30QoNhHFVHNlX2C3mJ8ul6Vzg65aFIaTafHXA8e1kXINHspduQtouz
xykKWaw6u2AlAuhrIKY1aUI09oKsiJcPZIw5dx8eomzdWCP/30QhRHKYNOVZWnwEbjn5ZEdOOW5k
RjrfGtYwO4wLAGNXVtw0+LNZ7VG83jNnR4QTzdzUwpC4rbqRRfu6AlppB3+0DFwuNhE3y/bdEWu+
Uu7IY7NsQLAsQ0U8bDV0LApl2AzBrjY8yB7FFbCR9B2PmaonXjeEW/j4FVJE7pD/7C+Uj9AO+dyE
4CINJDqlMzaJ1egFs21UaHMw6uhDx3AxupdtgnmrWLQdzZUcYxM6RaJWXHK3CxnMzVNn9xQhoZH6
zwJMMsgavXxe1x8frN503/Sezu+RR34CWwaGBNLKAdeSWLmLS3tMw+RLqMDduGaNUMrhSM20FXK4
0myPMI/YkZYA1HVHy9OnQpmc5zSZuM5xxRda2uOs9wxDiCQtcECtwrqEeDxovBZVldwpq0W2zK6Z
HznZ60MhKyxvWVUVd0FJ/9rXGfWCY2oWQ4rMxYFmIjQkM7QTN/Wy+N9AzqYR6UcRNRX5xZxgsiI7
GqVJF4YuG7b2DK/wmzBhcI9cq+KfZHVwkZRNoCEdwHHlqZEFp1kW/3qgxsmXkq6OPBLfQnAlma6N
dV+jYroelFMIFbej8nlU/agmRlmAhHgIZpdmk1lSHzDB5p3q62YSRKzbsx2X6efyyhdI/Qp99bKH
S4PMu8ALuIOuB8NQhEV1QxYPU7+mY00rHU1UOP00CLRRCRTBD63jIv07h9r2oW6QckkMCWQolWL3
4nZSu8UuoncEeHC35iGrFUNJ82mZYKyv66afpEtuFRvmdqpJ6zGzpd6sApL+IFjDZ0D+xhqtrerD
NZivBFH70tQ8Qh0AmH0cGOkNzBLGCcvKPM8lOxBnu+hg2lH82Roc0d7aVc8T1xlwFOy09k/G1wqj
BvawRGflaeFBpHOJzTpyYNPdoeV8g4S0b/Zl1/akrCBy4azS2S8ineUTEobylk/MqkSfh0viIgij
1xSYnCRyh43FGSaHdFostnONrxFTAM/DHC7LwbVktkX+BXyLhmdU5GKH7IB0YWfqzB2vHD1FTa/f
ajj7p8ia4rdVH6YIDRAWbBk0dvOODbF30dLnwkQPVhkPYDEQ5QEuRKCnGqa7IGyNT32l7NfE7+fP
MFuHL2Wm2+fRHIHZUVeZt7IiE0Yuar9s0f1ZvF0Aalc5YF0XSb3FMVnf2ErHZ3wNUHwSJ36HRD58
w0x60Os+Z1yctogMCTmYzr6qgreR4aafSKXlN9lXPWJ81SYSgMeJNSPWUK7dToDXB+H6jT/4nwnP
P0x4ll7KXxowP2EV/m/28vElf/mrfuvrj3wb7iz0BJ8hESMN+VXE9edwx/N+s1xp0qdBifMVkfCH
Kl6BQQXEQAVDS9txrhEe3yRcSvxmmpbyORoxMKLR868mPEsv6K+8kOWABQdVmmjiUYP9iCZNZGVa
rbKMA7N6HLKs6AitfKt9+ss1+Rsp0PedNnvxBXrIuBYOLPBWHugfWlKybfBnD8ahnTm3pWU+bVQv
vPucMIH8X01Trq9FjKoCpk4TzKHl+f1r8V0krT+o4DDJ0r/nsVtSFqW6sWahHypIb9E/vCATmp+u
InkrKO7osHpSuT/qnDTPKa6vJjjEU4N3LmDbO5UQuUjQNOjYrD2fBo/w8EzsSPoeCCJh4Z/21CYE
1tV2SA72sKh/ek0xVC3LuV8u5IjJb4gs1HFzqv3W39cBsokrDC5niVkTn77kP8r8kqWZz1ym6d7S
Vy5u/KGpdkaQx+dgIhUT0SwSjcVYsJ9qwV4cttO27tr8guR5/uxTUz1HMJaeydy9E/0Ub0c3KyBE
ZdjJIUXfWRZikHUEweuCgCX/Mqu5vIf5lrw1aQjhkwyyHVbAYi3xFK/7shgPoiSWo55rc+8NCO2b
ehq3kBSwYneqvaWXVZ6byiNSJkvVi8hC48AUu97MjTEeamL30H5oP3CYhRFnjh8uPzlzri8ceqN+
RXFP3nnjWTvREoEepwaZyRsdNS7h6O7XqPQF1kFwOrJ3zIAFQltS/rjP1/QFgV4LlRcf+4aOC7Wz
945wRPPRDwWkiVG0/mvitRVoa59UFfBHU5kyz4jZaCnRaJF4KiLBERgWYX5Wdi9wIlYgNMPy5PZj
fzv1xfjsTXOGbyRuNqaZce8lc9iurDghUlrJx0jHYh0sNVVU+4hBCCf4kLvY8Eotup03ODTIdOnk
r02eR3tgFZ+mBudlqDz7NgR/CRFttqN823JxIo6odzXj2XeQWIyLKuL5JObAw6SuZXpELiGMTRon
AfkbpfHGAkd+DOjBH4axaLdqitMT+fH9K6ev7mMq0dVv55AkEvJLYv+GS9BuosD5VHfZepRjc+ac
zqnWzV45eI0rJ7VAN3R6RUfsrU/tzk1aZXuDNEOiInO9bjWhzSVqHhge5Nm4VXebGI2lOGegmneE
l7zg1Qn4yy7YXLT3EdvnVrtO/RiMmXlCt/1g63EE0uARX+oPPD3aNv8fe2eyXLeOpOF36T0rOILk
ojdn1DzYkmx5w5AlmzMJEuD49P1Bdlfb8g05at8RVfdeWceHJAgkEpn/MF6SBblQ1zBQrtH1CkCj
XZZus34FkbNsebPBV4yry2vcadxduWr9oQu0tW109KHr4nyPafRna+i9K/Ra3T1VZXVlhSu66zFC
EU0TA+Nx4vGAGNwtMpCfQi9p3ZO8hIoKBxgtmuW5ETnWPsk4DO0O000KOZslkhBHVlXgbp7WJfYg
7oAx9FJh933BOW6ZT6vYThc0PtPOtjfo0qXrAzwHSsUb+h8K5OFqtd2O04Aq7vy+iJAdo400R+N0
Fy4628eOCtNdsGRIC+IslyMBSQWEU0nUNEeE6UT4eUayMSLXKd3glHYOxW+MzJbooAqVw45May1I
iqBLfBjLgE9iFD+mV3CfBkhJdd9MN6mw0sjbSNGp7DxOKHRS70um4NGVmbHvsZsEFfqpRwfloRgm
Kzh0M7DjFygzvKhMZ9o6K5EdG/qPeMo1dXd0YlU+4mpafoxHKje9bQxR2zrEHdnGqyZMFgvLH89N
kI3Bge4smFGu30zrOOE8YmXxMeAwfja5SYdi8RycuDUtWERcl3whgY8pPGQtZTlFpYzcLRHJx2UZ
pmeMuY1eCg4bB780lbQK0eDN4DfkVqZVTJLWnOUzxTpdDyvKrF2CCaYVkf13vk+2C9LYOThCtTvQ
ic2eMoLeNsrGbdVaMkix0MS+zD3/1Wmr+bgqO8FDuLGMIfM41bez58tvoGOpHDWJ8Rh1fao9KDes
u0GkVbaH5t2eRnYVX1dBLp4qiJEZLKTROSQqrOkeULffllHNvdFd4neBpfFMjfrqwbP1fAM/WuDC
DNHzY1rjTAgUqh0cggc6Pqzbave6j/9/FvjXLNAAC/4Nfv6nLPCNQoJDF5Ok8Enp//4vagYxQllG
aCEK6V7/4hgHWfJfPp1ZOwbwEhse5L9h/Ajo0yvk43T4AvrdBhbyMwcM+FUATCbikEdf1/X8/wTl
Y7S9fkkCze1QFQnwpQPq5rN9mc7sL11uCHFLjYKf/y3DF7n4zl6SoGE6Ta7V6Z3W6PU80ETGjkEt
XoV/jFqC4HlOKtlcOC08avcgLVCom7KLLPZKBHSNtmJUlcDeehtWHAHZl2IV6KTMKcrAozd2Rrar
GpbV21G/QsocsSiJUkBqS2u6B21CVbZic6bt7gPoA/q/DnYQHT2VoqW5mdlK435bTQZUemjGQklK
3CpLKJL/8iL/IXV1TBf4/1JkuKp4liIWGPF/GKTu29FplXA4qK7BN6mmkZNonYYZME72MFKjOA1i
Ljk7CBF9RxYxX+58A6Dpty6RkudpnCmd79+/JfePWwrD2KF3jVECrNr4rc4eCkpz3ao+fXEARpeX
0s/T8mz1B7SMj5klcqDDOJHQZqFPIVGQKIuZzuKmsNEfe0IKd+nIkwbg62ds5oBD92uSrsNurWZe
xV5rbJwesl4k1rxHbLYTV+taOnys5mQQdOCE1RDGf8mifz+J+HB/zRyknIl0BzaIb3ke2AfP4LCq
5ps90Yf7GDS51X6oq6Rdb94fvTfYHS6EXhrgOZJ+EDRc7/fZvhBj41XMyYvH23a8vaSU6oN8tVnh
sxcW/jUqOoGXbRaQ/ziuSVxcxg/stE3x/f07+f3YYB4ZICCyfVBOvBDvRzMkv6w74KaLHc+FeBlV
1IurQC6F1pu+tgC+nJGPrYH4Twc5gPZBKOHMaaOC+RYtZTmpFbZ4LT5XA6DkZdctEhOpzRitCTLA
7z/dGzwHT0fg8p2Y46UbcRRzf386N2+qUuaB+zI7KVTYb65x085OEzkw77AAMENcLWIY/mbN8MdM
ImE0OjToe4KMotf8+4XpPameypd6nu14iGBwhlU0fkhcCzOZvzzjm5OfeYUgN6G4iADoLqHizWQq
WpgL0+jWLwo96To8wUqgua/QW+4MxTlNUnk9x2ti1xdtDrHa3gdjVq4PhULAwNsgkZLMlBSRJ4tv
C5wxPUTLx8atLkqwA9FyMky+j4Tnf/hiUAsM4NVHvB0b7ZI34d6JywixKLt5Br7ScxegHcvi+4gD
Hr35thatt0vqkVrg3wbrzxcT81Y4K9qOwTu+DVuJBeEeYrr1dQ3YMimoYpM4qC3mGVlvI3OHI2F1
wjIpwyeQVnRzdl3f91B2asBB411erxO2VVRqV/01bRy8cj0qoMs5Cro+bbG/jFL0dnlygyFWJiyT
OHL/hAcFKfrM9dC3XyFJ05neFNGi1xsl5p5JtS7k8eMxVlKJK8tLclaTQh6YzaAR2COTqcNWXZ6Z
gHXxXSij2cr2R8sH5wfHb4vvPwIwHF6iSzAPqfisUCtLEMWrw5KZOuJwyttpei3YhhvPGXkjtOZM
iLZUlnFBd5mr6Bbndz0/rotJITYdHpmMhYucM0EeWJLoioPrIz89bZARzk0JxC/qb2IanNxBkjFR
6w3LPw4+N5T714d+bQvuEehb3ECVbQbnc6laWTT7AZXn9QEP7nC8G/tOjB9UwZ9MUMYLIsgmo9nC
O3MzwMEd/KUsL2HoeNJioXMepemyaaEDZSnugI1oAhRXCpdPYsqa8BGkYFQtjsE4Z/pWT2HNZrZ0
c0EIVj0U5wXuccylrXyK+Tj1B3M1K12kuKI+n3ePXZTjPZ34Y5dfVmixL8fJUXNznnXQ3s6GeYC1
vp2jxES+HAjjch6hEc1maSfa7JldlLisNhlRHHG3rd/IssR47PUBggL9oQkVZDs2AoN2YjGggd0w
/dScmiBW1Wgt1PtOJYJ/UdRdatSHZAla+ed3dJLe+t7L8dvNtkw5SLkbL1sDxmCAjs+lZ5kRHBH+
45nSH6Pq4xjKyBmlAj4wTTorzxr0Oa1q62SxuaJnhWRti6TXSOdvCTsej0BvpkuLyVnx3SvbhklT
JKKoPzQ6wLnvUHgGiLyRQeGypsYmjpk1qQu0YIHBb/OFgEGdJDzoVJeRd2b5eDc8dzWsYzh8Mwyj
ahsQGJ3kY1TZgjFZ6QpW02lCxYHaPRIYJncrHBhTxW4RZIs8RBGDVLrs8Mdp0n0L54o7Dt2RKLDv
V7r29b51EzN/e6Ac/MQptPPGs1iN6LfuWoQSWAr0l9C9481ruoygtlrNLS08PX+IAaq5Fz/OqKtu
kR5jCS4RUNl2Bz9VUPWgQsntFXUembwtQQspv1JAQNEcGnx+QExpCbmtwoeWD41krBnBYUYNkCJF
BEqFoyApoH9S6NlnfCDDmSlqUuvxTkYN/+xg5bCAw4I2+RWpI72YvT/lrPOlX1YTPDKAMU9F5/Vm
SfsU+9odAhkObyJQ5I20PqXjjXchFQZGIWtDqZYTpG9VUV+OlU/5c49UCa31LXWlwcxqL897jW9L
vDrByRxVwQzoz76LsyCPxx0yvaGJTFmVoawobAomZZxK76DLJcVSkLkNoiDFZmS9CZZlZvpDenKF
v49ryhYNicLUCqT9gxHKVMaRvUPvJCm8/Lp16FurDbm6ecNNPi62c3BZy6N1misbBDYCZp1u1Xau
lLKm85KTLfeYWIp30/kR/cCnRjkND9MkxZK2H2OO4X5z1ao2niNqRDm2tHsCMeFmr7GZXuhCyaGN
Y7DpIkKeFTSXzk4SRK8Mkw6XQL8Uz+sE8AhXPMdfjJokgmAr5+c+m7MsvSjbbHBC/LCoqzJ58sKE
lFBPSycP5QLdDm34YVbMocTLkZg9bw0ZQh46FxsYcJuBR6jEcpdR2tUl76PZzPSOh+5KGQpvcUBC
aeAtNYYgm+3bBac/gVmPbaLgwOAzc+1cJno82FpOfJIjTMfvNErCxKXSRl/kll6zyQix2UDbcyP9
WTB+OrOIDiOjyFpwXK2YUCOiBIB5ePtY2J5HQEH8k6hSGEWcZ7M1cGnfobFJVZjiE3s92v3s8nVC
807tI78ym6zWQ8d0nNEoaGm4R/1CfFiizPKvsR/u6VMSojAwkR148GwPUBOo54pMAde3KVQsz3XU
cRr5eQ4h6pvBmdrOa+NjSbUXPFKaFZNnnQ7FuvZYA0TouHXJ1CR73x6S7iMdeh4+b9n8l1cCBncc
FhO6nwckT0IWdjGspNP4Cg5mBH9O6zqfzO+A1HlM3DWHoA1hpDUiJVuURdi0HItZ6e0x4oz7CQxp
ldqsTyvNWbl+lAShs5kyAHhXLlSMYqfiEveJTbg6i/gCdKnqP9q4Cd+hYhmjWdzjr9CdCSRh6Va3
4yCfUavorPMeSx3/MuFOoT02Mu++UHYV66FEcLZ6wZN97T/UlHX7p2l1qul6ja2KIhf6mBSFvGCS
zSYCLQEksUN8hd7oNAVohPZdlszthoZk7VyA/MnLfRLp0dl2vKOeID9H3VqwC4+9P2P1UI4mpV/7
aQETgw+HG28kxG/9GLvO4H8UFThIlG8BcswWmHV3wdJAAjF0EuZpkupTnbGTVdsQMfd13cU5vi8I
IrlIl55TcUvQQNPlJZBPRx7GOMSSMSBBW+9oumctG5/Q4Zmi/BYhuKhdZ7sgPI7Pr0i1ine06sNi
a+Pghh4PzOqT0PX0rmvtaT1PEMqwj87kZC6M0dlp8FYIqzUHEeoF1o2kb+TfD6pDu+Voy3CR3T5u
7Xm+m/XsaWiburE++Jav1gdN1xm6ZC9Ef7+G4IdaOg8iRMs1mgOAiht7BLW2i+e1Ko9Jrmmjry1M
bEirZeu52TZEExYNJqcuouYlQ592nHd4ay4d/ZLAGwYAcrINN66nAm0fddJ0QbQbSjtAHjqBxiOu
AHRaZXkchTRykd+yqPE0fMY2KuGC7pxALyuUP097lkHT8jDFzc/s216qRDgfQFa1oM2mNjcbqqy9
Wgb30xJI6e9kMvUJiD0sDMlRljEMyMYSe2LB9FBfmf80han3HulXj2ZbiQkkLO4OpjZ7LRs4yyHz
hYlwdWCbDDPH/MlJDsVSTSleN56SU3SOnLBFShogo8PWQ8+hYJcBy5y663EJQ77zMGAsTAigbW1O
DmHhGEOyxR9relJDV+fiM0pEMM6PjqR/De/X0tQa5NAFhMlAKTL7qKS46R59NyALxhLGZNHxMkli
WYEIAkEPP+ZkYg9HNBG5PacRq3cS+25FStTQ1ySmIM1j86DkJcD4tkFQ9yYg1pXLHg1JyCc1Abmv
GSDZhGbnjLpp5k77NAu5Ntq1YQvcxg/Ae29beAB8mY1+EWtJBW3P/au4MHGyhMLPR9zCibmjJpEK
F9K4j02+Gie4lj24yDqLr9PUNS1oliJsoOgWUKIOWkqTSzUyNClLFmszRnAHhXa+Q7SDf7Gb8ErE
Upj9kLoB7ZJkZmxjG+RTfUkMR9R8j3A05R6harNL/dzBMHBjHOE4m4qFiCdz946XWAykRPo4bo9L
jpvQ9wqWFIlrxL7CHQzKypg+/zsSa8cSwofHW8lIoTPxjS3NApjyJdrUEUhIC0f6fJvb5AEfgnpO
gs/QMriZH6+RDdNxECS1B30XdQlItoOHphnvaAAt7NA7Sstxym7WqbCT+HEskZ+BLytFWk+nPuno
eLeGrslikbkyxae+R4gyO5V2Y5IKW9OpnMBIod+kN5HomCw19TpnxnnG7kO984HkkDi7icnmR/SH
+uDElqkao5tVZ26bX4gktLmfZUVXmu6X19s86liSZML09c0SQVzAFLyAaPCBBD1/EjUHkvvnvKNN
18C7RmrfPXZuWJFnY75kdtdsHFM2zaGlPYTOvifJAoXXm3xTCzMfk6ooyKxtRqD4Dnqo4Qf+3Hya
rKRfb6YqCtkunYz7crdZFprUkCJ+apJ5T5q7/bE8Sk336w4fm5aX2isCX33hzd6YfhmjKaV1DHOq
DFnVHXOh2uYLOUFx8HvfzN2qcePmsp6cdNS7tEI2djjjC2qPpHZqMenZYqhVc61m7XkEW470hgvl
mNQ6BjA8fkjDOO+fxn7IPejt5SA1wWWZfO/CnxxdIhOF9nnxHfCMOQQWMuDEZjuzeSH4h5NecvDk
PeslWJdzD3z6cg78YZnH4+x6Xfk0Zg6uSdvkR+ajUnsk11BthBPTMUemlcTg54k4WhuU6A9zmtqc
vtDh9Pgp5czS7yEJWPOzNw7demNb+LxuQbhnHEfGrE+VdRIJ6Q13YjVKwVtrchh/ekzm0A2dxmRh
4O/MIT+Me5PIpxI/gbtEJSlvzQg/ka7PEYpdeLvhskmOEgctfTySEGIAIrAcGU+7UDYT1n9jzXQS
AZentJesJlRKYrI4kWEw09BrwpmpDwvdoae4lBF51I+l14yVSa0qqwbGBDy/rVS30yOSJkyMZjL1
IyvxsC8HjGhHU3Nt+/PcdAwIyvM0imJLM5CYMJglzmk5lZdojPqGdDQV6RGBTdi8gM5WdRrh6Vid
RDTTVc/GZvnkB96sR0KnAGvO18S+7olVRdeYTBTGKFF8O/04NYIaLVmlXTEiNndJwj9g0kflyq32
cTqaU+CPg0WVrOam23VGNATGvVjoV+lo5cTrj1HBROeQREd/O2VNwyvNncHc+gAxLq332N4nWu+t
uTEAVElxhA+uCzNqwRGauaZ5jVa2BYyR580G1x210hnIvKZ88qDo84UIkZrIEc/KJLp4KZhZ+X7V
6B9qRkB2YPHS0MFI5W2BFS07oMhxNX2dE23OmThSVVmws/wFXZuNGnqe9y+XfFtVo0wFhy2AyIb2
8Z/WtwjkNZGtad4HYjLdmx9To4osU9l9/+n+vJTBKhlLYRpGBsnze2XVhbm0jlQnvuZ+YuJTK3wP
EsxMsCZ2vX+t12rgL30XVJAADEH0hMfugQN4W6ZUtgOXBnjI19mrIUSdD1mNpfQ20H7GMsz62mEv
XEVL0BhgBgD9GMaqi6qt1Ii2XVGFMJ2NmCOviT0/IvPP3kfTp+aI0ISBYk8AazDx0/u3/8dQeZSF
SWwNJxmNa9v8/pfa/ozgIGqYYfCEt+HMfbBBmWMhmytHqPcv9cec8ygMx7SC6AQBNH9b7yaNyt2G
BOopziBDLyfJAqHswVlDs0REkk5/nXJvWyhgnIzhD1JSdBPcP+BcfaeQr6B+/yT9zMQoDatlvRly
IvuH1AXRv+ySmHyfZGLh528VVtX9NdGuDk7ff/a3w0zXNID3bbqqLDeo0L8P89ToGRPY1PtCTYKj
I9hUqlQReB8i4PtXejvKboCoGo1YlMFCOkhvi9cliWHkOYXzZWjasLzUsjJH87zgpHaCQIvJGt+/
4Btme+hCK6fsTJMXy3OSpjczCM+LlWCy9F96fJGZQT1GioQ5guLCe036rgIknuXgceNtWAZg8Pfv
38CrTv6vK5BUC76K7WHujHX5H3ponBKzypFh8wWOJGKhe3pZa7mn6pHFKD++pi1jn5nUGJUKE79/
FsWtQJuSV426C/vC9GNwakBojBGl/4VV3ALw5rSwVlHDlqDKCWrXLvI00AscckpNtA6nwGyWqDu1
WOllic3Ch0lCD73Y6XCgeOSAQEEYZSwp0aEjVeauPs1pLUdoT5aWya0UMBqChWXoZ5SR885s5+Ao
yG1C5ZktXsIw5rbCHwV6RWpP1CxL1yRNRQSalu3VxUNDbpOiLogktkonxh9z657KpDvOWLiew4mn
LPv+8P8x4XDO9m1h1Ppc5LzfTu2Bk0VmQTp5bLPOI2dNpTZHoHjF7NxIcb2WrN+/pFktv71wQm38
2qOJwAKEb4UoaJQhh6+i6TFOgbN6e1ykRHmJYJ5bWle2srmDjV9hXSgRgU9MUmjh784fvn8bb58c
TUHfJnLiNsY/otf29y+xsxFdM/Eus8eypfx5lteogd2jDu72F67Sf9E3eBtBAKViCEilSHgIGfpv
pRQEXo95JpX6MnZwGB6CIjTToiikyazefy73zZLm21FsQEdBhHTePARHfo9W6TTbVdWM7j0OwTi3
JpQvdXpIKaNy0s2Lid0B0+a15l8hBRvm5WxoIhzWAvg1krIuJRiOPKZ/LyevIg91VgzQ7uw85YSS
hQSB56wtMlPWmi1TBog0fJ/sdIyEKRODxuLTo+V4PJxVBuxFaWqZTpEzwt/mVOWAZOtOLfTTlurQ
tHbqX74/CG/GmzGIiSs269RH2eaPjmkQpDquBRB8rEbNzowfqFly1tRycn7/Uq/OZ7/MZ/NOCV4C
wIVgW/xD12VqJTVVx0/uIr99vdYQUDotx86k+gOhnhD0o/deAdJhFJq5MVXSnz/142AqBNZkM7iB
H5p6JmdBSaRza8jV06lVFoO1XiiWqqCDJetyOkJP5cC0L5uE43EOdZBjyc/GH90i00SyoJiydtbI
Xvnd2Nbmha9BwVWs1+54+KM0MTqTqfFaQWbeJPbiKX85HAn87U7jbG9ORj9aaKxI5m5Bz4N9L0mo
cnibxcHfov3Lfhv9/vrCMIS2D1gcwBJ6nPYfKg0dTwAKVibP1eiFn4u+CdyDS3v0RJSR9KnxZ6gV
+3N8vkTIB+6knzQntVtWDyME5XHTREND0xQx3RhIotqITHf3CedXdQOBYsy2WTSCs4yLW1T27OcR
bTG5ET1cvS29HHE9Bkl7nqHFfMmOlK2GjYtym6UK79NKH3k8S5DUC+A6ogwNCz4oH6zV0hwOKqCJ
WxX3Nz67EpxruIGX4dKPOy2Xbk9PvHrI6OHDyHHpEhRG/4ZNZKKFp53qC6iJ4HyZX4laa2c7O1T9
wjuX/flJYrkcbJJeZJQwUvyR3aJp7qCCDw+556GbHdmW3+ws6naP5RBDbbVk/1H4SpEWJcMJcr3F
gTbBIgGn0lzegkbMccry6/Gsatq9nuKRgk1WFJ+GSCCgECVDuYOh1t6tBdBT0k8ro9pn+Vtb2Le+
XuyvSIurLw46avdYN+HaMYv6vAxVvvfzJf+L3sTvwZoJQVuZYBaQKvguicKbmNZS/gmBsDcvvC/Y
nNiWl3tRtbrgtdni/v0V/fsG9eNiyLAAyMJjIOaSvwdQnKRJ7fq4ecEKsQYjNNt3YDtdtanr8nL0
0ZLezmlb39IiBDf5/rX/mPmvjwlWh5YNQfzteWQIVIx7Y1+/dA3mGoA0JSpDtecAfHv/Qq/f9H9h
6/UpfdcFeIAeFhvy20Pk7NalO4KVeUFLmzXjuWwXSJjXTg7IvQo/NG6dfMjx0gLIXgUxljyjzKvj
mAcCjSUN7AuwnrjuRR+fNVYX3rPfKvKkodIPdU3y4uqmhrqrHf8WUZPmez140UVDefZ2dBf3U1xw
TkX1FpHILS7d114N4W6DnqGgelPSi0PLjsJaHy8vRZtqWglDf3DSwH6yZw0Jjff3l1zoDQiPITFp
AGkQ4+KxR79NCRBTVLMPqP7FH8zgZ7mXHZGLrU7mdX5qnLh69DCl2Q1uStOjg7F1AsYX1sP7byYw
k/m3N4OmmjnVAQYEOIZW2O/zD/fFmvZBFr6kA40Dyml9uZkjeDy4HFSr3o1+PZ+EtYYAjB1MTben
rU9a6laXoxSoLkJssK5XzOhOvHWhcNYDH64x6wu2fWld5ksTXiwezmde7d1RA62uW4uXthE0xpbt
qmfaLkWLXXUo4/ADaePYHiY//76IIr/yQih7JZXikzxt5XUd6ErDXFXD16XKhns7cMtbq4G8sBGz
Mx08V4OtxmYovZuqGHvNrIN/j1IhYrv4XdMCQHOhoBHCnvjRD6zoIs8W/5NDVTtB37PEiuf9wf0d
L8YrZmx9qgs4fXCaDd9qLaFLTHsNwh+Uaj+4spBxeZC5t4DU7hr7ypkMYvz9K76Rtnq9JLkBRxxY
WEDwXpV0fkk0YVJXfc3W+a2QhX9G2QwyUjIs1jmFyuJAI0IT6dGDeZGeXT3k6awv8jy2b60x9g7v
38ur9PLvU4tUk/CJnZkRZHsLBuynOlBR2jTf0pkGA+f2NvmCJ2E27jokWXHDcksqHHVrZDQCaoW7
IhPBCar2+Y46SRyjDWGhsda3MAByXY2m9EsJvbFUdlmKXJ10njdfiSFLT9MgTP0NlEd32ijEMjIq
nHY9bHonardgzQN5tBiWQ1Fq6xLeE/6XlDKsC6Gy5WaZJ7azAsbvIZ3YvbetA4Wkps1LRunVEBmq
rsK0aJwKerg0PR+CkaMpuYj6qN25Oc3qyuthNwOXYSbSLtoKqn43Xpw3tFxB1OHxNNNX0gKF5y3M
THk5SUSkN20uBbhanA8caP3h1B9R2HU/oaKcf4Zzo7/7uZtT6kFI6G+Frz/jT4gFMaA5oGuYmv5R
1/NcOqHlPJXfEBC0ww18ruIrKI+FriGvjDNV+LKqIYFuY31d8CuCFS5GVMPfnyT/NGEjA0Fm68OM
i9rA7/EHpJSq1RpW3/AzXYbd6wsRKw4KFzlaqgd7HeO7rm+GAy4pyV7GyfyYRT3mDliZOHd/uZl/
WLC4O1NbJnSAtXyL2F3rYRpbmPzf0tAWHzvhqA/INlm7kMLuOfvicDVUnT6TflOfVrPnXOomZCML
Kz0japxFAJKbabzIrcH7DnK+C/DZysuPf7nLP1KGEGKeBzXPBTPNofLNkCFttdRx5w/fqHp36T2Z
RaDw/vUxA0MV48oVY0lPSa0i2kV90H7PYCrjoJO4yPl6YasegrhKL+xwKu/d3h/okLALwLnuK4Y7
LcKt39Hu/fGi/59ncbfIb//9X08vNarMueKQ8qx/o87GAeSEd3gWfQkW6En9+Xf+l24b/wvKpzAy
Wz7Vs1dbhJ9aqrGPkQIoa4EoWgByPibB+ymo6ol/0eOmYo+kKvkFcpL/plp43r9sx+HTyMRBxwWV
959QLYB3/5ZBmBIl/+PgRHmb03XwNswDHHF96SLvEVRRtAWDD76j0eNxTbL5rEq74AQCGA3DFp25
F8RmwosA7T1ATY4zfWjbASdYJa2nCmu0yxLkKp3KxLsTRZEjGSZFs0uVH15l1ag+LMWY39Ewr44l
bdTTmprOlxZJHXgVYXEGumuvF9V9pURWnECj6HOqmTSO6VLI9dmWqG7kCTrfEBXRJ6bKV57FTdWc
J6GHkrKHd+Osm8s2wAo7rpIa3xV8VJxRTadNXiOXUUP/x1QnDc/qDi7pJqnm6xb/qKOsovhiUemI
cpCY3VtaqPEVUDf70lly+5IEyBrp3nrdgUhcHelsp5+dOI+vHKu8Qfl5uEyQe1jtheqHAI2CJEls
QQqV3nfShWwz1fhLRw446i0mAvomBoAChy4E/+MHM/pTVT4cg8qWL9PERaD0A/3MUSxqhra87/xC
4DNR+cVR1nNxEiutd5M/1YjbLQ6nQXf41EZ5cq2HbLrVbb4+01HHSbwfvNu0BLTtLUV/JTwcggFD
o2LguvkBQenh3J5F97VGr3QH/DE8yLEaMe0seYx0njd+2VQnuP+iL4co0YsVe0beBDRmLM/dJj31
TUd8QOZ+U9pts1NBclmX2JhakXValWG5Q20DEijI3GPXjcH3NMYbWBU6P0fgfzqiJIqnYZ3VN3QG
Vhw8raI8o5ScWHvEtodzCUzuIUWd5zHsBD4/uZBniYQMKcepu4sTP79cOWBeTgrDnQ3MyfxTon11
UQx29dFvfXmsye7izQSW5ySYK9yOETzybtclzC/x4VkP4EUq1K5lxAkGFSaKAbqLiBLeeCFo/N3E
aNGccZ4QybZY/ep5mGd5lQiBUP08eOeCkvuxliJ/HKIw/9xJNEAaVOJuaxBeJzNqPlf0er1zdwra
k35o02tE3tUdbkDowNWqOq2t4RTV2ynBkCeIrtxOuo8NpffLLvXL05zCzkmBghfWC6WqyKuz4LqS
07mbTT7TEf0xy9Z78if9RNPDXrAmK529K5PwqfOmb0GHzEm6SDT6gMmh2ZX4ByoS+BGEjfvg+eXz
Mnky3Vqp7z6GUXPXjh4QQiWX42o39m2bCQGIEN2ps8Cic7WhC2dfZSOn7+1kie5JJX1xE6aYtW6g
HsXPeE5nx2bkL6U4NdxHOSadowfAGGmY+rxIeYkT8jYov1ViBxqq/hh6Sn8lsRh7rJScO4Anp6k7
ibN26o40EYEiiLDGu7Mqylsq0hjNJdWJWCZ9JpK1OfXLut0pOZSbgWD5qNsY87igTg5L7nU7tnYc
7ZFy/yAVVLJ17tqtV3KAWLOlNECA8jOosvk+5Jx5K90akR8tSQH7rHR3JA/yxsKOfqpEd971tIO3
cXwIdFEfEzXZl3RAq2NX3WKoNX7GxqAFjOU5t4WdesjIRLaCCsZu3thj/+zphTsB1TrZc3hsUXXa
jxXywPsMp8HPOgTjuZE2CqebKcTEpVmX9HpVbXm0Zr1Cul+CcNuPs4hhn08IHybLfmhWEtC1HYZo
F8fjfbouqCVUyLvAC02Ndxjnv00se/s8lZ28XJrE3juO9blwSyq3aYolFa6fMFYFwNkYJgh+m/kn
6MT2aUVhfQ8wvtu4Rdl+rUQGEq7N4tugjvAjVsFcb4z+5m2urXIXhs0WyIF6Eqh3HQsocTe2EjU0
pdqzr8YIm4YIV1cAXFEl9gA7UBli17ha/Sz7BGU+v6jX8QtNBHHCjrgiXajGK5X6SAWRsV+oQjRb
vVgIwQ5+f6OLpLssgJU9WEleXamylvsWi4mDE7fpbnUzuafx6n2iUIbDleYp+yRqD9lcuN/WMB0Q
hYvlk+91ZnMZVv8zyX9+DyhwrDbQpyFwFHGKLD/etO2STlsMS7IbB7nUzRT7wWZMu/mjPTD0TRas
u2XREucENzqPUJwoqHW02TWMrYmJ5kz4ntCj480OQNNSbzgiV64NJFbeV8hX5TAa9qAX15ty9Pw9
vm/oACzaXgswL42/CXC2FV07Xjlj6p7hslF+mTq33E3wWQARs93mLPFzRWJ4QpccQGbZ9fFjKUS+
q5vJ/lwlCEAQmaA4aXe3uCK4WYfCepawiM6kjqwDsHFce+FFnQaYbh2QDFC31TJF97RocWC3O/tj
hm89lwsRZ1oWSxw8gEBX/dJ9bdS6PNvrQPinOLMCuJ799Dh7k7NbOdtuXGWdIwrjUmRo+hwTQ7BI
wDINgcPOiWi5fUtD33AqiyK9G3AkBJ0zdAjE4gmpb7u0q05adIcQG5dhSQKseg4xYRJ13+Nelqdj
lbkbf56si9yt90vU1DejsbrUwfAY9AF6DYgDUexEAeFrqcUjFIcnOxm+g998jJB2bJwVuvQ6UeX0
uvq0b8JlD4z2zu1SeSazMLwb5f+wdybbcRvbtv2VM24fGgAiUL1x32ugyEwmmclCFEWpg0FRIuq6
xte/CUr2kWQf67hvN2xZLLICInbsvdZcmQ5NaiqfYW3M79HKfLDH0lS41BOMStmxRmaiDse66Zqx
3+fmTAbLiVKrjEx31ZFeBgleABlsA4+rWTcsf5jmwb5pepA5j50ZvgzJIuxDPk58cPi3dfTQUEk8
UKH7YaHq2RdxXZ0SbBrVh5oFlNprE88TOb9rEMoXRyiirb/13H2KvOwSFG55HNrE+mAsRvOR5kWU
3oT06C6t2NDae8iBcQgzNMvxb8/dBEDJjXoj/WzHc6e8M9DIGWAxxrB0KyXJoDESt+iXirrs0TuV
u9Hs3mP3n9AjRbmvLnySfSTfz4o+HUxoXB4JLsOZ75x3Tm5RTkLISlp5NTg6gAxVqQw3I8/qQbFA
r1CLvCvXOA9iTrhHdhDlbawk0RUsB83DTrWcR6gE55ZP87j2oDniZHqSmbMcW8dUUG8pw14r58VF
m0O5JVZ9cB1DtJdJcsGJCPXT4o9V2CM8x8aGFxjFJAAbnBnytlhBAaeNEl2sEoExHKTw2BZ6cuzV
6IqkkNxTLa2+AjTR+0tkNR8HAl88pLrLPmnGZIeTglDASA2DNsmrYAplTZeA1B23R3/pYZ+yD4Na
6/T59WJvAI56getIGV1jQZwT0rqE9tm0S9N+36kDx9DnQVpNZrwLG7l1MBkMJ0X+zyHuy3+XfMcR
669Oceeq7eN/+U9Z1f8ATqKxsf3gt6Ocw6HM5ChnYFHE60zH9X9+j8VQ5RsV3zqnNSaqX09532dj
sHPxZdDS2Pc4739zzUvjjUOmL8c4mmyoc/DB/7//fZ7/T/Sl+uYD7376/3+VQ3FTJcxd/u//0P/5
4SiHJYhpOWkROqmrBtqrn4cRdIlr5jWWfrWqhozWfYKhpSf9S1cpAbsT8jsH5CntDnck0bNxaaas
HxQ9N8nGSrRDN9bKVchzh82mFLCXKZiQIHenKioPcSuGI7pcy2febl5WQ6m8bcoO61UZEb+U2Bp2
kMJ8C3pmfpfa2LxY8OE/anVTuUWXNp6JTd/l92HGgU5fus4YCvR7JH3zvGc3NqIDqr2TibTgyKyW
nnoT3k5rc03SLJRLTXVlUWuHpmOUyHA186zcPDJLZWqNTJmV4vNgaBNmLO6/YmxTrwWHfgqJ3Aym
XvXnUX3erOjkuXVKEMIG3S3quu7BBYBOjvS9Uhrle4deWYBHLkEJIoN8bq/bbJHc6Vn/1Oq92OVW
AUPWgOcoCpPHLzRW0KWRaNBt57B0Q3JnRXEFKVpbD2wgjoeMNXRRR46HqE+v28VR4W5nawBZQ3MH
JsWuVGu076ohfPwfRDwTXU59n3fHLLFOseYQ+CeKO0ctpqAPrb1TDIdabpPqXKetR+CaJ+GV+nqo
7pUkJcUnXh6Mfly8sd9eRJ2hkB9AhebLEHnYXU3Ch4ZPBeYHonHJeiNl97KGFODBQAyq1dopSV7v
jLUpMRCw0ibocdzGMA9O6Bx7ork8O9OB262h8rCIpHKFOhhoYmsMFpyRdrqMHDK/iMnVqzi9t9J6
veg0e6RWnJodFCBjR3WAPXVmJoq9xMRMSOkwmBJW+mbx0tKP9VzLy0axL6hcCw8tFAwaKgCmXNE+
FvDwHMyLfk44fZY29zARHnDhXqX6ZLnRaMqdUiYUvOoa7626eGKW/TFternf8n+9iT09IPBJOTZo
wSR6T2SsjuFvvFjilVzAT/Q32gi6U0pQ1iay1eFne+AYvdGmPyw7qh6tNy4aRPcfF7lqpD11l7OS
faIOn5GG2jUH1nQ5UAsARV1LosuwvcBnSjmYRLU8xLiSAskZ0VNz/i7T2ke07sQAWnPom2U30mhe
wNTYfIIVI7mdmRZ4XkT6rtXN6IThqdgJ+1PkdOpxZoPyEBIo9zjxis4jJlb6Vp4kd8WYQYrvTBJk
s3jZ14nT3qvljKzbcrI7BtTS77r1RF8s39lpNgV6GJu7NSOPEC+lFZRY5d1eV9SbxGzXQF2zIoCq
HtMn4pAU94KYMSs1LzS9DT1yycaDrkcXvTHql52iDr5CQf5uIApqN9ghzRdJe9KMnMk3pqJxVaMi
1MFI1XdsyarbKxoq8bEhYzimlIBkCHN0zcq3mSKWG2z66lHru8lwaamR2j0pWRyYMLt8YiNMSg3m
vGLpsh1PdbiyiFPkG5WrsmISCX3mrMjsU0KMlZeWdn4xNiC9BnukO7zyftZrZ4C5zCHOCfVlDmPb
n6fKONbjSj6t2b9V7eRi4HB7tEmgdmVr3OE2bFBRkr0bO5S3KydFX8q5JybQeR76HN4zXE5tuMnJ
FcC5kWhYHpQvhVyXXd6ul21vXSUT399ZgJKwaLulLMsdA7nWI+6v9pdwhMjOEdHVZPLUVJRdkb2+
7SpIpRhNmWtk1haqNmD2VO0FwHKl+23ZcElFZntadGs3FPqT0whm9Ekq8HF3xtsQ0axXWE7AWMlF
9JTuZ9l8GRnZYC9bwrPRpsS85Zp2DAGm7Ei1HjmlQJJd+qz2yQyzD7FQr6tc/2iadFswc1xwJHyA
6wToKDF7L1+EeUGRX95zMn3PKQTycW19MeNpIuGO8EfsPPc4vy4tNNzn2tYJFSJf0iAd4pRbqGDV
9iYHnIJcIra9sGlesF3AjHJk6BrrQMw0XW8/NJY0aKY+v8If1O4lJnjXIJX9kJO/2Yn4o7PYzv0i
l0OVl9rlahJRxjC52fV2TpSyzSOW63rfjDK5wSl0lWpsQrMSQg6bcEVlWpTv2sEwyEE33tZk0flm
3ySXS9NdRC0H9pHWBrXzoLsoTFQ/RlX/Ic/mxykchoO1WJ+rQR/dGKbSbmCyuUfIo+yiMjQ8i0SW
awZiNyrgFhes0/bEpxPHiNDrDR26QHiH5Z2qkkTHuUnw5xOIeaHFyvvBAQPXKPNnkVBbgqsZLmyM
daw1CSaDMDQPrL/JMYbdt48UVrnJVkjKbO0C+o0u9skqDCwJk9jpmGM9OKvaPrLS9xOjeiInbQKu
usuOc6RbK9GLUGoLyUce7hROTS7EHG2HV5sMd1moR7uGsIr1p3RXVtUdw/3Kn5iIi5KWQVf272SC
l59YeFtpnPLASS0h+H2mxVZND30IVIBbsTE7MGUNV19hX4dG60y1S3hStt1khK8anTg02GTwFlq1
qYfvxDCVwszoibQMJznrw/9O6Zau9cSkrQSHfidkYZntB/xx5Voe0UR2luOllY280C3TPAHA7pZ1
u7btVyHZPzOSX8xIYP9Q0/7nGQklYPnluU9Y9L4fk3z9sW+1NWyprWwGcEHNLVAZM6b4NiaxxBuk
x6SwCbYj9qXviFRSf0MlywjEpPD9Ogv5vbZW3zAhIcCO/DpooijR/1Zt/ZP0mAdBY+2g+ICnaRkq
lfyPg05DX5jkcCEeqHc1kBIJx1b8Pqj/+8fFzD7Z6Fbculp7KNuz40FB69x5XrKjTeKBp/b2vT3a
wItznKrzkF+NtuzQVJp0fVsBK1eht5GOjrcMcqZpUa47KQrVpxkBwB2n8q52FOYaiCY9xuS3NZwA
X2WRBAtgZ4HWWLMbaTwmZ9LRS9EgkdTRqD7Umccxd+ivUKY1dYX+3kg/mUqt+nnBt2ca7YZqtNqL
emwfNTsmi8UYhZsiiw6K0HpAa3hHYuOnseXhcQ095lXywgkVXmJlJR6i/FsNXzUOHF6PWc99oLbN
owkLBec4tMpJ4eWRFKLT8i5Vf1Ssi7a1L6IS6wyrQ+0BhyYhtUBvmGYvyHopv0zeSgxWZPU0/NJ8
5C2Q0Bx5CbwNqn1RJF3nhy3fNao8BzR5tFJDRFfg6KsDsPJ6V+X0J8zG5KuZvN32yGD7yVRC30sc
0lFXfetTL7wFdS76wOi19Taq8ltnyccg384YOZaMS0M2PP1J6MHQ8IREbWY+U9Z3WefQ0gUw4dPs
eFnKpkLO0OqeES506LJFh8ueR89hrmi8D849stM+EGWO/xviCAh8CACyt20MsyNTodTp7mFxZ2BV
GTag/1539aquh8nm3RNk5vqTYV3YmkIxzUWSNGC3F9l0PqwW1dcWQSCijXVUde4nBk2envGvQjVu
x4QnFaUAumnEOzsN255fRcV8tJxeD8Z6u4p6vpfo+HPSaWTOVp0eWCPyGzM0Z94mLqwhL9iUDOPM
9fyC5Y3mns5Tz6fkE6wlPvuV/0tJ+qAtqZT+1NswdHA7EuTCu9RpzBx0q15PatM5Ho6ux9fPuyAA
FqYMl1U/8Xpx4jubv42PvqFvN5h2flS16IWbnKuaVgmSQ65O2+JSIbIboEfTL+/ymP/F0PhJaDwR
7jx6lZzezgNvFwqK+2Xlk58a7hPOHuFxQkxyiun4g/rpHi1gZCA5+ITtgYvJ5m58fTPKmptiUvhW
9v1PBVDcAPB3cwQHZAQy5KLNsy48Lsxq7jja1h6j+dSdIAp7AkftDgaBHrR4X/2ilbyl6shziOLu
0u6Uec8EE9d8EyYgGlc9IGAJrPckqAUpXJj4cZWBZkR1WWYnW+dGFSoLgT3SKKPllwcq9wmI1+R2
jI3z6+1FMPd6ULVBD0isxPRdQYOsSBOgdOHjJmInO0axWu5nWoSbV5nbMENY8/rZoqvZbHvllTlS
+kQal0BZN44nSPjxXq/y1crWHdZVZ09XPgsWLMI7VL25Dyeg9l4vgO0K5xa/TeRa7sXCFeqM3N9y
ddbD68fcDwTt9uDvccPpfTCmWvgEiks5GDEvFZccXdhBUw4EnbF6Gckn+qJ8BFr2wniJOh60ZECa
WeIVoicHrCRGXG2H8spK1PlszMbentJP0BOIV7Gm8irM9Cyg/4g2YlWVQ2Rwn1aroV0tVuzsqA5g
BBeivFI6h0eHmcHaWzDnZ3HQVuZNs9xj0+poWM78Mm0aOfEJ07N6VfhYeMkp0rv2YjKRX1slxP45
KVQIw4YIFLCEnhVpLG4TH92rvzwc9NsYhRlGzJIzWM9igh139CAUY+IYeQrTQBeBW6Q6FIiJDrRo
xNe1SXdmgn23m3ZMTJKnIuWe3x3fGC2XRGvIW33ZsM2hQgnJ+IttZ+JiauZ619GO9TJyygkVV8ur
2ZTzebCyF6YYvDULd8Dre206RuZnBb9y0PhcZUkAOmeYzlew37ggxPBd50p4o9Mt97G25Xs7bF4a
i78uhhSCj1Gj7WQ9kUqe7LS2fUZdbCDyIuW8aqyHopJVkCnxjTINZ2sT4QpQycclIZ+AIzGxJaBq
FzXATAFelRIZSuiarx8zIy9G16QiMAPH1joF2H+bftLTavaZmzigjlX93oiy3MceQpTDEnXDEdc1
H6FQQxLjw0jjhE2+ICCKKulv4khiPYPtlDPpxqY8pt6S9WpA4kVLgoyMa80zm0Y51uHwpBAV9hlo
97NM1GpwIzFnL3YjFIiR2GzXDuH2PB36khxtp8jAesAsa4RXpy33fCo5VUZsRT6exfCEKX9VdrnA
fHvO9Ni2LkqohcUB3EKvPEK7Gb0YBnd+FcaOwJLb5hyDmyVrkrMxQhMLIlCtyl05UD6AHLn/rhT7
1kX8vmv4oxrpta5B3oh4GJkY/cufe4a5o+irBA1+IGCFJv8avwDJslmC7HsANxCSeu46mfzSTfmj
Vuvb40oGoUyrNrfcT/WUs0gd+EE9HLTpdbHjHhRJ9rnkVM/AJ3v561f5oyb826Ohu6KdS3LoHxCL
6xQpMiFk7pAvXCBbJeBk6Awi5tr+6yP9cwj4xSFAt8xNOvSfTwF3cfX5y78uuvyp/Pz9MeDbD/77
HIA3FbIpksKf5FIcEWwHtTOYEtwzmyLqtw47pwDgfZvRFJWqaur/FktJ7Y1GcqfG2IcA579zAvh6
Rf5bD8s1xD+4Oum10WnnMLIJqb7T5jYt9OjCcaoD0m/K7iWGC8VmlsAEI6oDx8njVIzjCTcF0egD
hTKhHBfqZJ31akCazcQp8+tOFrcAp0uaQuqDEWL1ov7E2VfJyfbXgXyoVkNsKxcFIhrKVtfurHMN
5MLVZ+0mnSfIHqI4mVN+Esq0D/s6xHljON6AXJdSGcbN2CYvgzokZ5o8LCS4/l0conTbFGxks4HE
NlHXy8pRbxBIsre201M1TzNhKbQQJNKItk9eOiQXfgEPNLAq+2yJeQ8urAbdUb44WXmaNPiVsxFD
kB92Us9OcHNvZLoQP8h3tamCbiR5Wuq+8qtmfTb67AhC+pnM98dm6ajO6aa2RSzeM+46JK1tuhOY
+wAl+YpzxD5rvXjMxvzJUhkXkCNyp7bZaXsHoGLD383yl7SGJNLRUd+RIbpxWOiHD1s/ZZzG+0hM
d3Y5I7qiV3oBJ+B5CgG9aPHmLlsuN97Nxbpl0CkTLm0VHIM0kiOAXE4p2XxvxsvdVKMNEBROc/7U
NukT5cPZiiFouFgXAskL2nTuVb/c4Nyxdovod41TNy5dxg18C9kGczENCbY5veKN0mPASDQ4cPtv
NimkBv2Gtqgu+zphicdS5cq4eBo0YCgqCVNuz9zA2x4LmO4SKIAjEDrd9Pq0Z4h7qdn0lQFJXMLN
Al+cxS8CzkFgaMkpy+ZLnQ/nYFfMFtKEV1jJ5YFkLtIR0TDTSBMA+DseaEzs1I8duV6BczlWy/rQ
SnKWYmO+5/Dgz0s5gWgDsBNWyRNyDJiC+vxsV+vlqFPnpHGbnLMGefesfmJ7vHamhE10YrKi94fV
II2rmUGooCFMkpohRCsOEW0fV1FxxWc90oBhWLeENOzo04bYEcRiUJmTOLhiiGt0ivu6Ux84cj87
YurdYsPI9FF+1KB4wIe/l3MO2oO5qmqSvTQU870gUtQloh3TnF45+PFBMCDg4Oy8ve+Aes4oNR8r
Im92CDfPNTa6Xb/9HK/TjeH8u5MwHxOrXQ4weVdX0eZzrSv1x5QAPs9KEbq3SjjeCsIK/XyOQuot
aXhsZuOhsZbx2FTGeAE40r6YR0W5pu+eB/SniutSqZedihLyCJyr83QlF8+91n1cxta80uyspmqZ
q4RZUsvBBL4JpblP8T09hVbV0mysGdXtU9mUD3j5HoqvxZKkhiUTggNDHJ5lmX1sKcC9bM6ZQph4
NETi1/3SBo2cY82HP2XS457b6Gi/WqKs5kwA4k251WmTIh+qrXLr6HsG40BmZ7m0z2XJYL1U0jhA
C+Xa1kKjY3XMXZEUg08YRXjDKAQoCecGDvH6c6VVYN8bDD3xCJRv1qHuWBWf28YGG1YuwybUGMjR
a7mWqjUAWuGiWzLrceuHDHoDs3FsX5SpvZTmr0zMf6g7MC/TKsIvBfKPztD29e9W8SQ15YBrujpQ
pGWMq5reC+35jJTmtIbar6ALf6g7eDQYCLjRCLDQbPPnKkdOA/BVqzxgKQXNpGVHwjfwuwgW9O82
0/+mjqN2E8yeeTCU73TLfnxdk2XNIg05Qeh99uSErIbbcpxqE1M9kjeqC/6k7v76MX+cN2874ib7
ZwMHv4ED6WfzUSRKAA8dfsqlN2J6sdCZcAR7CgACIhigJ/J685xJR8fq9tcPLQSv58fdmMemvweY
DcHhH5wydRZNa4rq59AVrfDTqrBvIG6CG+3Uy7SC4gTI+nmizN9l0zge07HjvnWYCbVQbWITx1C5
XlJ2s+sK4+A4ZI6nQxvo9nQ5mSzftkkjPmPi0FTpqTTbXQFhai6iBxXmmG/O8gxcFF5nBUvQMEgc
jmBTeNJmefjrV/onlxCOSXQFeHDwNfzceNTzhEBOXTKB17udrNQb1VlvirVtfvGOvsYQ/fyOIhrY
SisG/8bPyUvOhIaML3KtOgRRdITKLVoiA7I76YCZDhBCG8pEtKX7jMsNZ+HilukGh4M1emk2pNtW
qgA32GKM50tKa2St03CvOOZZtOMeH23vGnVSeFEUm/tm1ufHiLbqvoj0OoDlmlwOatvdldn8MLds
+4OeyCPCAlSjJjxCYhlfQgyFBFlyOm5nu9rPCugqOEd2NOyAELB51+IQL5iQ4pL+EKkBrqhnjKb4
1vVhvUFoubWu+N2OrXxsDea6lkaN9dcf2J+sMDQ9EGMwdKNx/bP/dLXIS5GKKA8r8WdbOTGzshm1
bmIpF4e/fiwq7D/cBRgFsPHD2XFAfv9417fwg6xcLuWB0Ms7LJXHovrVgvlTevvrXc7JSZcktxMb
ob8asL9fMWPM6UThlofKGekrJLPuyXB93lZ6xknLHkDoMdMlgV36GdRQHFhlflTm8D0y/k+2OZau
jhyD+VMqDhiR2GQdVidgxCeN9t5qTiKwwiQ75MIEc8AkzB3UtbvKEzNATPIOXsDG8rPRmy9IFIj5
hQWtiZ4YRRxheotZTDjwz4a5ZsqqJy9GySWIb+c0ztmRPBm4ZmZKgapNVL8ajaaS4fGo9ndVqccB
Ephf+I/ln9yx36xZrMNS/gxwKPV6i/wpyoOWc1AYCQb2kh6Rsq5kvOaYdwAZfYoawz4XhkkjpmtV
d9WK6x7LPE1gko5MHFNTiLm+J+vBH2L1cUpr4XOSJqV0NM/hAFBtCI1z7Oipb7SsRHWFBtlKlwdA
Z89rp7qJlbydBdUhifK0huk8ZrH6AOKqd2sI3XuRT3unnu4iwxzcFFUBAz4Wvs7E3Y1yNYXGCmBL
N9YHZMTjL6ALf3KTsGds/2gC9dM27vl+G56iBhnSNJZ0uEvSkDh+WBNPB+qqG9bRLz4R7Seb2us1
jF1XsKyBPrL/cE82Uiy4xYfy0OpdGTAnqXySL48EcB0cjc9nrbgk14UD0rgJViHfPyZRfjIzCsCh
Ck23KoFVECYG4JPcLxTp+MYgEH7qMu1KGe1rIt47+IlU+3MJw0HU3TMt/rs5Xy4LnFoI5NfLSGRP
4bRVqTTp0lU9NQO+xZn2L+VqMMLX2fV8pK/Hy1XO5JAYfKOD0NRUen6inkaiMgdMu7ADL2abXPXt
EITEncFrn1XHcpjuk56DpJ2R4LY2HPWMdbpv+0h1F+nQRh3vmQzcNEqC3JJqTbMGH8Y6QD/+oBT8
TThuF2Q9jDtN0hbbbqNuNs6VNd2DT+IAYeDCgVZH3m9DtUS60GluMtqgNd/dwotoUmixZU8skmPM
z+1mVRl4g5m7nhLBmcWZKcVlLh/TeLyb4EN4oiJzqSyOypgeV1iHbhtxA/d9fuRQvC9CdpYkGrkw
uTvMqT/lmvEx7qbymGnGeexGX+gtFDwORvPaJvuJHAnk2MY57+WjjqrpF/ux+Se3N7WOYWxYGq6o
n/17qBtSLFNGcegsMrc6MKcq+97IMSs0uK23+uv1qA0FHMDmKxV4u+dLOBTL1AG9T/mxphB+Bgod
KL9Db78Vlp/3UeMxWCkDZx6WQ741PcckQyeDGD5oSsZJMJ2cE5342F8j9kViUQiRZo/3VkucdYU1
Ju2Xh1FQbqmtYLahJoM3w0t3c5vKOuJgyH4Yi4oPJKLMttLhvh9ZQZG23bWI9hDd5KdxGO6kMST7
CklzkLSZ8BtguEU8EUNfgJfWlBW1xvJsdit017q/A+WdIt4zCbHn/JT3w70w55utmu+t3/bXfzps
v+iw0X36Syui/yV/mp7aL983177+zG+9NTI8pbNdsZJzz9dB+m8zdoPxu8W0HMLRtw7ab05E5w3N
YebvxKYwhKeN9rt8VRAXCkqO+sM0vupX/06DDZjeT8XMdkPhbIRnQAgORsmfjjBZytRRW0mWX8wl
fuzTvqx9sxZAAWbixLzZaot+VzfLTV7p6+TlMWNLFW0H1has4SPaOjIYVu0xTIYCAEmZmR7e+OnL
3JvKNj9LMaLgrCN7+6YERui2Q/5RKi3N7gHveImUDlSOGgXt7JgL4lgrOYRMPd+mPSOlGSvOOU8N
dOg29cnBQq0jNwRXe6Ruzxi6MT5DJgMAN6Y25+jSXs6AoaFkE1etzEa6n3hyiHZas76w1iS8IG6g
vytJVT7iZfyYWo3ymOQFE56mZC9u5nKPbD4K6k0CUNtdfb3OtOGLubsd7eizgfzNRRsJmzbWb+mm
ZzvHyWJ/MdAlpczX95CYX2pscTSUHBpxpYo4gQJ8RX9Ld6RZefR41G9NMW/FQn/qscwjSGWMp9n3
4TicNPjXtETKt1OzalczYxYkZ+WIk2fa/kWEzFJcSbt+BC0I5lzrZ0L2oo+MsC8244q7ue04D3xs
DKarVlW9JTtjJdiZAWQNiMYH0DPsBpV2BYBMj0vwfhZhECIodLPQ3J4CWRwGv9ppZrGHh6xei0xR
dv2YkS7XOflDhVziQZsFU8dttt5EodiZnGNw8sHYicldZom6oYBeSeFQjj3Uy6dKYoSoadds+fbE
cYs6Ryal1zf5RAiAvdqubfTN9QKa9VFm9r3ZJdW+mtlatG7BHBBmVrBi7T44jWkHbW6/y9daadji
p3eRDKOjJArLYgi45Zk64fCsqDjgPatRxW3P8f9cJA2dmIlYEsb/cbMGeVy+FfSZCHMu29jXK3HX
5b2z62xEcCB7oM9y59DKGxM/hgeHkG9unH2LsC+7iGpNYwS3VG6KKhx86WhWZ12bh8sIjxZlJLvy
OwuQ6SXybPWj5IX7HSmsXpGkeuKTn1BVO81uwxb/7KJeTktj9BcVRi6X7axfXtBFr8rebqsqfFkc
azrleksPIwJ7yow1AZ3ASA23V6p9dcr/s9D/YqGnJGbp+8+TlN986v+qXv7lVflQfEp+cC18/fnf
Fn3zDQMvaAWMR151VZQzvy361htN2w6qkN++rvu/j1RY2umCOizDQgPjymzn+1Xf3gLo+CIoQF3n
Sz+ZFP7KtPBa6H/fdUD4YjBU0Ti7Gii/tlf+/UFgIf8ddsisHkhE8YroheTd63kJL1Lb9ssJVFei
HgmxDLiRHrWMlU10vyjoNrHaD4fo7Skw/yShmddMu277+ncH3MoAYmXbkXqo2kU9h/JxceqrbsyC
EhPEJnRX+2bwHWYfsAbDU11H6R5aDOJK/YNEvbPGSCaU6KSuSOUriniH462lnZutzSSN0WVg7Stj
RFFWP8uZ00OFvqWkDZ59TFHbbH9cpGSWsrzrVqjSBQ07JVgM5yCrHi1MhDwVEUm5uKvaM45W2k4I
X80GbxHlw2IzsuGaONC9cRnZuORQX0YDQvgkXcFvwSuzc1RPtnLihmY83osu6LIr7FO3rDxDMJcR
Z1M8d6bzQRNK0EXWE+5S9F+phoRaeNK0oHc7rhrHwVDl/jgXXjtkd6hl79NmaoOsKzi/1B/Zr9R9
kg83UWfReyw/rZxD+jTzGgZWe/DWtjtR2LuiLJ+LWar7jAgrd1Gn51JGfmQO3VW5Cbyxwnu12fFg
6y7JxHVUpJH3esv8s7j8YnEhF0yn8PrPq8vNl7LsELk9lT+uKt9+8LdlBXYFvSCgu8SobxAKStNv
y4qtviEwEViyTrLa6+D192UFvSZ/xcBfhZy19avpKH/zQgnnDY1cevJwxSmOJG2mv7Gs6K/F4vfr
CtnLmM7pwQHX0DTz564VTcsObKWKA2ND2/uDViUaKecT5ySyS5yAvokmEKglbbGbCDRzXCQ97YW0
gYzt1gZonxejynTw6vS5wZDM2CyHnKvpIj/XRFldT6bJ4X5hksEQdNZInrENzS2UjmArbZH+auas
HYroNCVAWU/bRY9DDWFYGq974uaqh7Zb2uOSNvF5q4oDC2XJO1IBBf4CkgmD1iH1iqylonkbZe1c
HlRaXlg3ZpX7MxX4ojMNf41bMUynxqsdJrYD7pEhLg8JFeYXhQbb87QqyWnmZx6NpUpZxxRHXuF6
JhcYyRz9FlDOHUkKJGgQgDUZN44d5ZejcNJr1qn+NE4dLq4wXT1CVIkwqfpxDmCKYw2wohQVE2+K
NxNHxbKEUi9/1fw5daii7TPEO7vlbYaWlvEQeqweSzMaQMybEqdIEwW6wzsvE6kdp9UpbnpFmHCW
1uIWO3x1kw52ex2HttRRemblkf2o9sAQh142xdaObqXae4jbT6WlRWqwWObEWTaDleWVhvqeBNf+
aqjkYwfj863WdaVNHQMNHXt8GtUus+Rsv2EyHuY803cp0Dl4DlE6e+MahieSFhKfEwGz+6pcWTxB
mFhmZaeBaYbGkfm7+tLRqgtkod1Z403h5FAwJtnsZaTeyGFIKkw8ugAT0g0ftKWO3rWFmK/hmxge
yNEARjlJJgW7mhX3BSXsnB+dvA2vUPmXt4bayxOZ4u8Tkpp81ISZv6CV2pVUuW+XwWgCUtmLwwRl
Qa203suyNL0Lh0a9JrnD8sNZTheRWbHGCjsoJOaLeFArP1yrAv8pxthD6oTGbjALVGHT9Ey1r6BD
kITvxH2u3XGRRy5jgOYCVBOO/9wRAVyayc9opWFRMm4rrjYPtcZltcXrErZk+krcPa4FIeDrTAh6
rFO2GovNs+xiw4sGJpwaMX+IAWLlUQLQvKjzuLkz8hpEAaDWI0jTxk+hawatNo9eLtv4DECZ64bL
lgauuej7eomZI9LF9VMVNSY7Be4zWzPmO8gQm0c/wUK7N2WxRNo7G8pLsuscbcIFYwCnRWCWTnEU
23cT8YF0u2AL2MNbXc+M6a2BVcrAet9ksfagSa6FQDXS5BJypHXb23EYv5/lWjC31tJc7EoHl7Sb
Ywfn8cfk7NgbrFDUSNly6Kijt+XJtQFZKHTGZkeU6cVUYYly82pNeTWpCj9y33IQHN+OCalib/ss
GTZJXaSk4pwJROUfsqxv19Jfx6yk+xsbzDmWGlKCP3b6zMo2JFH0ARRjlDOQ1xI+H6UquDzRD2zq
NuB+HBGTeTMBTQtR7fhjbDugAdVnEZM7W34YKmBlz0ThaBk+eY7gA2e3oa+OgAAFqt4yzHrBfzj6
XKTIHNGqxyrxc/dlNjBiVhuhm57et3rIjcUx5p+d+r9xLWtsXH+5U198foqr77s9337i2xZNF5x+
Dx1KsGyCHo389xZN2f9G3/IUKXd/lFI5b1C7UBCjyoMGRY7D7xs0UioH4BwmZhwVztYK+jsbNGeI
H6tugFMqGiuTk4nQGDv+PCbLtLBBpB3+f/bOYztyJMu2v/I+4CEXtJi6VnSSThXkBIsRjIBBAwZl
sK/vjajuV5m56rWY96CyBplU7g7g2j3n7EPLsHCNY8IWuz3DYJjtrRFaM0DAlQI76lQnSnP94kmn
jRd9h6n2U2DFeXKD3PHWVu08M9irNyS+9Ow5AWm6As5IvGpI1perSINI3RigLfsb+cuElUAyTe2L
WbWxsarGtHDg0EZptx9HOBTXwBZRCzCoCHdpJ6ojqDYHy8fQrnnOJ5uqLNzNwubaidTC4p1Fw2PO
JkFSZD3Fl8JpODcQ9trP/tiSYZbTF7VqH27Zh18uQc13aNkBRWFp8yHLfDEdlf7Rd7pPR2bkLBXi
MXsSW4qznoU6mE3tUlwYGtcqI5dGenbcCTO0iFpKFkOjJBM1WOVIZxUr15WNgfzeEMJ+G2d1cQen
2XDZEzhIhXmbu6q+0adXbcbefCu8NHpRnprvSaU5+8aO3pQK0dtMioGcsXx0M6M9uIO0r7Is5XEI
nXhNghFWy1hPR4/45R1VcZ9R33oDrzXQFYIR57bEZFXUxogsEsTHOfacXV5ZxU8YK3Krs9D6yX4x
bKlylPUhstOfw2DLLa4h9Y1ubPAeSZolxFRC2ljKIvyw7SHfenhueG3qN/wmby0c8LuqbWj4E9P4
HveYjR0HKrFLVpoM7IILwgE+LoPIyDjmoJ4/BVq5/io2RXNcPpEv7dj5O4pCobrEWPMOgT20KUnL
AIgHWRh4F4T79uaIxWfTFMto4xMHvLm5lT/Mc6fv40mYaxK87UU4kHYw1CmPn0IUNAIquocxKWcm
QSd9wiNeXLyymS9i9p07JhZsRyKeHibZyl3VdeoHd+CCbiwTSXPIjeZX1HUZluPJtfYlKJmL1HF6
UFSWXXq2UzXPwCmhAA7Jj6cmWrfVc34DFhKcrSYS9SrtA/M6UVC18mUEd0fSR1ZxAhsjonjd8MqW
Z0CFcGZ7lzt5O6+ZDdONnQjI38L21rlRGgyVpR2dxxLg2KpvUM7WY1vLXTSpS9rySwUtNC4IMN1L
QsqnpPLAFr/qgdBiGBYRZmKOrCTNv6gMN6mUFRlub9htbD8NeGJKowQ5jbOUKZrRGxWdtGPJ4NzE
VfpQhqHYYZ40v4+YtWF5W/6PvI31SasSHrc/4h5YllorafXTt6h2nQcjj4MN5AW633DBJ+sqn+Zz
jZ2pX4dhXJ9Cn8pa9ExDbOfBxgjg4XbSpBLXvq+qTa8c+9gBRrrRXk+WoJiGV0949SNrSTGTbFkm
tChJz0bjzCuvjMJyHUb8ST4NfRS1FxHEgWDC/STHeUuiikxtD6QppejkZVQtuZiptXbCA7EvCBjh
sHTjO/r35IPvtxsrDuVzmhv+LXKGg6wcfT8N5rSuVXDycEFMK0K46pjG5XQIJ5+xuLSNrTVZRNXh
ec1P0MGau7Ib7Wdm6uwjNa12Y6BdroZJTsdwTkV8rEj4sH9tWabSfOqoxrwrA2NrVvX0mLitvMwg
Z9fcPM1rN/B2114l1lWZ0gPKsWODo9I86tb6sibPvzZ40I4wk+xj2Q20SFtduVZgr6Hmx8meOUBs
4rR5NoIG9MFMn+KTjsT8szQb4mVGMB/mrHQfsWMwiUpwMyw5aTi0Ui/fB+j4G0rIFy1f9+dUDOql
Kkx31zZVsvbZbt6ZCi5rXXMjihIxbXB2hu9ObYrD3Ey4j1QRbSXUcWOTdZ7/zkNQH1h1GT8teC8r
NQlnPWMC+4Wfr77i+6xvHbSvNfSKFRtw8zPRZbJtQcCwiB3HfTh2BLKbuBXvtk76iyyLWwf38CQi
TmCOlMDwFklBVx7sY8rxHkwrje47IcHj9kOsty5pbFh0iG62Q/S+yyEhDIFwfwLrGbdToH4Mi5aR
c88ESsjJZi19z7jQc9qu6sab3hpFRsS1Gn3zwyna9E7tvw+h4Npw/GajvZBwcJqru0oMBjcscuKT
l7ofeYH3IgzIEVhxVQF1q63PqUxc8vKcMwFCrO1ptg+EDODCmkbsPaVUA20gkRGxi4qbNq0j04OJ
RZj2mW1u0muFo9WLNkE6Pk5YsN7QNUp8UyysZr8SD1nRAZE22mR6JYLeniKnDU4JocKQOyjRbO6b
mHZ789IFhnPTengYAIND5DAL2pRkzmFyGJ6z2S5POE5XXBJQwCKLcJJOxBHTzi2fIz5qsObZYzlx
snarJDykIBh3SdgX284ZOA2F8SXLm3xf+91wjE12XpU2083UlFAuOYXuoBane7LbeHNV0W5p4C4v
iSe5fVPq+ClSE97waPpnTXb4B37s4jt5fOPqdfKxc4iD69B9MWe3u+YRQvc0OYQae0PvwyEYtq0X
jC9dKYaT55efmc76o+CoDLAJHWEcZgrE9BJzV0bSnVKI+0DwE/fWUQn6gFU234Q8uUY8CI8Wjs93
UtzTJeKpjM/Fisc3rKzGodCjdymbNDvZqberUaTXRFbvc999VQZ0QDMsi21aOfEqIFnyzJG+2Q99
2N43YY8pqaNo2Wzjn/gEuAUmQuxDWodpnKXuvqP24iJcdzpDyEu+jRGg9qDDvdjoot24vqd/eW3x
LMqqImaYBU85rqxdb+X9mt+PVtXMuRu5q27BIX7EQJpWZIDEfdbUl2Iy5jvlqwu9nu5L0XKib6mI
2CLCjftUEs1KVR5/yGFW5PlT+aEMlLAkonunxpdxDCYy/GTLPyaL+wo8FAvi87ii1r7cFoP4NAYP
kx8n9lUQZvoURfBmcpYZqj8HNIOBC6vL8eoWdUKrg1mvhRkULxkn+CeGqvxctSGPeo+O8RU9bGF2
X9e9tadPtrkWibsrfWcpazXlHbaFalMpz9iLzC2x9NrJJaAndyvtbDgkccb5d5wy/6H1GnUUbmHt
VDjIzZxx8Ifc+UEkMlvXgYRrPU2Wvm8mKmhzT1qnWstq54WT+gSYQcFl12qGlBxuFfBKhMGVv7Bm
KPdTP2j4aT58xDMMgd1nmUTxhl8EdH7Z7rKSo+l6pnL1OHdmuC6znBiclkiiUKZKVj/APe8aZeeQ
6ohYTZQCirXhJl8xx7iNW2maAksfRzQ2CHVjtXDP3LvuUxMOpU2DsInVdKun2Dpp7gO0JzFtijA0
6bw2zF8gkjzsvgVYTmzsm5pSma1Fa86K0UNuuyJ/9AJNjLQzZ3WmXh0iTmVnR5O3+mOh+R1sFcf4
yIZmget0OQLp0K0TYXQ4EYoBTEwQB99aAfF/Zw3k+lNtPgYQPO0VTX4ZbPbe+qGaoEAyZVdNxLZY
O4QCd3GlgUE8hSoeMsBBYyjqH6jFI+SZssLD8xwoGv7cU+yFaX7uVRjVz9M88qrV/ZcyjBlSJ5My
dinf0qzaC3zo64qCj40XpXmwmUVCs0YfZyCWkln9bPxGfE0RvyEzgveNr6k/jGSCUGmPzTGeY+i2
1hiqjdmF6WkYw/aubfiv4dnU7w5XnpPPcsdPNO7yKAKBk7D/SAOvgQLZqOpLxqZ1B84/PBIq1VzB
bFuvweA/a7Ky1A54/pdbNDgxIaw259iLpq2nI3kDMk/Gm+LnE64flm0TaqzvQDxEkJyGg1v0bOoF
llmmPntDyb1a2VNXspfAqOdLmDRB4dlns+oQr01CEalnOtuwEGrj+TOGUXaZzdnMm/pFpaP7RrKY
PUJHH01AHtiAKGsSiTF55fAAhYT5qIB+n7z4Psmo4KZEIlJPihq1zZglKVQMYpx37M8wQfVEv6VD
dfiqw82AWyxpwvuQpzBhcNUOx6yzmJG7BkORKrPsOQmL/r1n9OTMBFhyrnTyVHq62xHHb5dq7GyP
9MHpywNFe8XYP0nMXmrc+kNjHoFRUgIelxQRsAzNAENG3jHvZHXrk0iuktZqXykcs75ZTdh+q+rk
NYYif3EJBKcrXZE9deymwT3PKpc2QPMcRGXzRKdBB90kpvf3blDCfaxE+xloWaAbacW6xhCmXoPi
5LGf6oS9l0n/8n1ezMVbxk74hTq9eA/bFqv+PFj2nqNQ/5LLYfoaDdatDQCmc1cmzYbfqNplMuMi
JDmhV9LvvXnF0YNZZyE/b2LhTd81Ux8Tv0GwVdZqfmiDECNBFRXpTSYRkxheAUppMwLGXWiAmA10
dJxyNz0KrbOLByPyWDokyAuPk0OgfD5MpvG9ICjyQuwy9lYk8/jjnJmbhontFs4owUA++ZO51lmg
74251ptiaOJ9b4/FrVrmJEfzuZLapfijNZNTbNN81DD5YhYghFVlsbXOOJZRFV4tg6zlyYvnMFyn
FdEV7mDJNprhlQk+dlnZfqsxxpX3Vp51DvlXn8NYC7iALXXdQZkZhN+Z2OVcX38Zc2VODxY84oPP
9p1vOBrzW1+pRj3rych4vho9B97+YTA7cmLbYQgI72Kvk2o685LIMNzVCfIf1nurxpX1f0t37ITb
G+qqE7WPjaB9LopSvf5JqPkXGYDfSuWfRI8FfI+WSb0HUxnbHW9xXf5JyWxaNbGWtKYr7ms6PiOc
XRYQmgAQsIGeGicfJGr2Y2afnNzbGa7cecLahgGi5qABeAGvGI19pDMqLtL9f/7L/c0294/fzbdN
C7UQGPrfrcqlNdKaEdvTtWnkNWiYFeNDOv4X3Wn/6odYLlblEKeTGfz9BcCvoDj0jtM1tfG08D/f
oDQsqHf/u5L8760kkfr+9LZvPvvP//MPBOP1s4Sjf6y+CIL9xY1ALnP5mn9fSobuH3ijl2oT9ohA
W/7pRgjDP8wQPzAeADwJ/0hx/kfAEziMt2Ralm4n11+0wf8nGwZ/BPyL5cswK2BT+x/R8Pmg/HUr
Cd0FwwPfDd2SzRpuy79eQYPdiVQLZRxjR6uN0xbFp5fF5MYH8uYEmjRz6GruZk1GyhgnkHDAHHwh
yzvtx64iaQaFLDbT8StgNXevY1V9ROTTeF5TFZ2CsjfKjQJKuiuhE32UXuwcTXz39zKdfIzHOEHv
2BmGmih/yViLycnfp374FMi8uEk1jPfm+FnWUq5EJ/LXfjRBHeXpaKz1WFSavp1GfbIPLNWKnvqZ
/JpD/fhGRdxTkf7BdW8bv82/CyPnQevIEsvyDL1tW5MlOFK1B48e3/dwx/iCmYoSHM28KYkFbIsa
SA5UxQhbQBZCCWsjcLILIVxcnCwYQ/BrQRqsjKrANJAbef2j6ZrmvYZpfB262VwPTtGd8dlNPzjj
VO9un5ISwsw2nxm428e5yZJPW9g2zgUbamQLsWuAGeEPtrlWaThdtafqB+7yNVj3EHvdai6nYI/C
k19Dp1SPbuFATplhtpJ4gvgxsE3EJjFWgyS3Oe8nOw0eLDAkQN2c8oeCP4DrieyQTzIATHLWPzmY
dHHgoOK60+wcqIi24EUZi/rYJ8EmgyhyDtWEf093VnsadSHo4Ey8KGEIaoNLaJZ2hd1+Ll6dshme
BhcobDZYE07yfLRIFubxt97gYNBMaHhVFRmXSdus2aoUnzn8wPVE7vCiE2t4KyCvgfaLSnmZKFg9
M2KP4I+5QzMXL/TtruBsNbpVsW1YZ2VYZiIOCez/lyCykot/Y8g/2zkrtkmnWm8PrIFHmp1N3Qds
eTi3E4C1ZpW3ToIrMqoscGlzehNN7rzZSZk+RtrjpzlmIJ+shu3l0Ar3bNnZaK7EUIuD4fQJx/+6
wfk8todpJhqcoC+v/TJT70aVyBMAk+gnq6hA7nyTBQQ4yylMwbK00S3KfLycXZ/UsMkTx38QEMXY
BoYxKlPU6fyHS9l5tKB98m1iQqGIYPWwHraqZ97H/IU1mHgIVNbdddYsToG0x2hrQZAH3lu57MHA
JG/4uNbPoYM2msgeworR8u+tOnHv4L8NEPzqsrlmPCjSDvwmV/k3VVnZQlRP8Azx8ihGpOYUAcPm
/+rKSoinqmicM59lUESL5qUy2Uuh8XdGD/RkYsUaj9qM0SRHZz4JT2SHdvIfLDCLlBAGeg0Kn72t
K6MnRf/FuO3AQr3HMYdWq4jHYhMMaAbrvLFr9nCA+waa8wCEp0i9i49xTcbJvLpUQlx6FvJ7F+c9
Ob+OYC0mTPxSGJhCh02e5Hq5xR1b3lWKzPGi4skpL/7Qm9lDkHbouhu30YP55OpuKiU1W2i7OAhb
4zAN8tUtaJUw8hB3gZLOdHTkeBqTyr+reZDvyx4OZKEKvW+Gcn5s69A+DlnRwm/yElaPXfE4SYfF
6oSq7uZZCsIyKrbQgMoNprRVGXPIsXBAkJagTKrHI9WnF5IADNB8J8do90MQk7pI7XefYXVFKeUp
y+zVQKvDCi8JtBzfmNaq7dxXgRZ2JE1Try1elh3Gle4+Nd33aGiSzUTtwpbSbeMu01bMKZ279TyY
b5XVN5wiYt7k+Ut247nXvIZxT4wwtft5TROjuTM78aIcUSHr1q8kYINjGTY/oDyTsk3tmznLaBP3
xWviyHt/yrKHvq2+MfhybJrPkDXMXWnWSLwOXQ4qgIBozqzcpnzc2NUS7mfpGYKftHJWkxVOCdIE
wUoLmiDYrcKw686A75PdHIXjnpI1VKgOQAhOr8DcQPIUJ5oqCAnUU6PfOVx0d+BJQIZOFlSZwT37
vNsXM5E2a76huplUIewNrzL2LgwS6Pq1vpLNzchY1LRghKnXPLbzHN0YwTkIsKIrHgFzTfd+JL+C
GhdHniYgFakxwsPAWA0QV1nLbRZu8Crk4/ccmDLZeJZXb1qQA1tNTRT+rmS+FopU3jxa8kUvIRXD
Y4tmR+mjJ42WSyJn+TmO3bWUOR6zko6IsYjjR8+O8ccN2Km92pw3Dm9TFJtI3Tad34WKP0Vnto92
E0wPtorUOcUhd/PTqHoaprpc945/6pCG1lRbcuc3zDevE+3KM/iHyDAxEDSF1pIHPyaFySM0omCt
BzXvnFlHO6x0xS+fnOtVT9tu0MNl6l1M3XLo3Cv3GONCp0nAmRYGJFYGyEgtnqMzmWcHHpjd7CPV
iR9uUXBtsXyHjZUPNz6EBaB0s3jIvOWAVPnBNvV1h75oPgRuB1DYzuSx1I7zUIROtDGGubn3JuvD
Iy7OftrIn0r4EwBaAvut54i+6ybCPXwyBF4b5gJ/jV5c0YVhkx3HAAmKWSJhjH508rppPlRhqo5+
zyNS5do/GmBnrH9YK//XZPdfmOyWQkYmy/+/ye5YT38bkn9/wb8PyZH5hwVSmcn5LxMy/HGWlAvE
JrDovAVF/k9jnfMHMQwasl3aUpYB+Z8Tsmv+4RD2IPOGmo+Tl6/6HxjrwJ38dULG+kuYnUSIs1RT
Bc7vYPafzpgA/vuxCtLwZLalOhtZBxQW3NZN0W37VVajPk7U8OB/L7wk4Z4a51fHKeU7mTqcqHHQ
GQ9WEpjJSjTz+OA6ffyaay7vc5sq9UP0KMB01cBHI9jG/X/dIhbuBsxJ25gOn9fZ66fHQTaE2iUo
svgksrD4GsfZu4ztEL4KVWcSs9KCPO1Dy57ZgbAC7HlyAbpIj6zWi20mnBZRF/R0ugIE5n8Blil+
VmZwTMirX7NIjW89IIYbkKBBb4axiX/1ji7vifHf5ayawW5XafauY6f9xPI/vqmkhVI9d+KXQbIO
+F/iLUk2FTw0CK+M/DOFwhmVHnc6kCRRI+nOv4LSMB7rKmOHHdB2fR0Nm+SE2yAOJF1oUQdTO+7F
Flmeob5rK0K9Ys2tcSIfCj/utt4YC4xlTqLWTliG+y7wnGCFtax4mi0h7pkYjl5N89AhneBmJzoK
Txixx71ZE5Xe6BJgeylo69nrih5XqKrCBh1nEZZeCZR7LA9uHX3hccRHMIcyQPWGMXPmOdCv7Thv
T0OcQwHrLDK6dl1TItPStCzxKvGg5lFG8qQJry7zOg/+MRhuY1C2hwR2ziE3zI5TSIwFLqLqoCZH
7jdPbUG5jxWExhrKMS9OVECrN5qquLdY+ZqrMNH4EkFvDOsEneUbGB0kh8Htw7MlapY9Qs8KMmMS
RIydftxvknLKADpW8h55TK4pX2jnFboZWsakkMupbu5P1PosWAahkoewb351fJfhYPa6TQGhOfWv
CdCYu3ImDSUZyF3/o5KMHYeYFf1rPKjsODpVu9XRnDk0OvnjZwMw4cGfqHOum8qj28qRtAs6rbOz
6oiDl0qt6Z7MepK9tmYeq/FRG2Fa02RLO3S/D3CT3XBriQdk+Nkqvnh37cmFGylTXlvlVuzCL6aW
c51eTT8o42vSIdOWVs1aze1HlqmTz/xl2S9JyM+IF1tdoZ/cToHDr1gerXvLIn8bVxalI3UMq4Yr
FBonVRxz7+a7rqS0CReaXM8A5qk6gQ9dWXJFwqzedmZTgi+04l0m8gW6B0ySUlkaOxOn3BS5dbZJ
P97VphWANHFvbGsO9CF5F03/9no2Jc40s1oIKy2vO8xiFMjRneNNFUo+gW7VmleDiKG/6bqBiA6m
zR1u9v5klxLWUsYA5qhougyORtfDd7JvvYFkbF3q9ux37XBCiSlvpAtc0qO17+39rMIDFHWPWnBh
5nX2iyL0F8vgNlCE+RfxFneTwRWn1DPrno3BLq7FpIJ1V2HAT5VnPYFy5K4VohNwLiFNa/qMtIgK
lHNPSbgebTaV45A/IA69Rq4s1onmwjZq55D1yY0uLbEtaysDaI1yltE97q04f4YHqX0kzZxGbCOr
p2fCGmJjjnN0DGpXb0G+oEHbmX3zGzCA3J5AMLrSo+jKLbc+Ti2ojW433HnMqdtWZahr7LffHCrj
vwUlgVRKSQqQaoKz0dAHz+xY6Fab/EJxk+q4pzCmcK9MvdigzkeBbhF5ou/NnKs3raiP0SP3xpw1
+6HWrnsYjCi7TBblxpwoqSiKbY3Hv8KFOmGzXSMQtNeSer89cb3wnEv70/Q50yD0jjtFERSKUttv
cSuYLIR5UR4nDtDbGGw0R8ak4NW2HUgcVF1FVIqlMw+R0BkpB6I8Sa1pI6suqSe6+6wLWXebYGpp
/aEop7fNrRk2JKrdYADwF5bfOI2ED6JPmhkEatV/y3Bu2d6AkJur6t4aoYjPRWI+48opfnWz279j
I3afAqJ3jzBIk+3M5nlXYH+5G3UPPdZ04VkXbDa29CwW3HRFOjylroPDRHTOp9PxkXacdqLsp63u
QqvpDsrwrHs6s/KFfD1wVU3zEwyNJaphWOm1HyMmcw5rF2oR44MpvGw9Zl2O5hJyyyySeyvqskMa
GykulyEIif+HwTrhnr9xsp5VSdwLfTKLRuxKVkYsPov4RaDfYchtvO6D8S8l2m6M6cUe8+7Q2XFL
cZilvpcwCcADNfrZGR0bh0MWyBVQLFy/hBtfEPEpEsGqdNFTvZTo+ibGZ5iVN3gB1hP+M5uu2QxM
/dRyTPLnXrw1bdM9OJrsr+jqBba43O15oqtPQUsciKWFFjtg2NuimaP/2K5eZ3wqT3CxHvth7jLO
547V99/M1l+G25kjTG5+m42kgD9BAjR9czkLVBxaan/gSZSb6LS6Jse4qtD+t4OFoQZ2qCq3jan0
V9iP/jbOZ47BMuUWLHBLjisp6dxLxDzscU8/T3ic92k+JVs+pPGRt7LYDFVVPDrLJsmrgtOQGM2m
9WX6vyGU/1Yhj8WI+p9G3M58m+FHPv/F3fqPL/qPRTJ2VEKWuE2Wkdb+0x45+sNjdHZ5UEXIzNaf
pmQyJpaLKobFlbyXbZl/ip/4fzCzRw51r67lIxb9j6Zki3H7L5EyYBOM6aHHsEwdtf13aA9BNyGJ
KSSn0eL65FxrBY+TleidMxHMTVumk9H8nhkTW0AKAHB41WF0G+uxP8igHPcOwuKeTQhkuj8dM/6F
ROTZf5vf4V7xx+E0w+ILDNP8+4Zbdd5MdwdFfsGIjHxPZti8D7XPvgqTqQe8Z6ifUss1XJL/Maw1
dm9GM+IG4PEef4VVZT12BE1buW1mKrPfyL4m11m0U792RWe9l0L0PrVuY6N3PDqMcFN4Gd4UVlhh
Z2Ag6Y3wMAHW2LhEOnqxsYrJzRU3vCCXL2IeEy50o8yoz/OK9hbGXTFvuG+wOmEJG51COVjLsjrb
KqjDbTgIOeDbCZ0HbfnDS1TT7Iq5EnpsVGDMWg20LH+nAdO8ubFToxKDB8/WqWCPwKqCvcVupBKj
OOGqou4CKyKVoCRBEGXBa3NTmHaVjF9VnBh7mWp5apPM2g/Uzf5ITSHvo9JTGz/rqF6rTw2Oo+eA
mj/UQzXvg27osTeI8aQMkLBkcthYF2w8ry1AkkuVCJp2cCqxSLXqm+FG76aTAbtO8Zdt6GgT32xE
4mBFu850Z7AhfdRUHal1QEvqdkpHdUkC/WQOSUGt0EBRno4q9PXJt5JdmBsuriWsHlEjQNF72ODY
v5upfzNBzd2IyxN/isPywRt1gP3MkVZ+x0O4c16yRLLWt4z0Xut2y1hm79qomJ5nVpxwLJzqqPzG
26NgVrsm6EW+tqQ/rDsG7q0minMgxt2QeaKVzdEm/iqczEem5mlttYn/yKvenrFkShJEhXlKyINR
b+iHJ2GZRbKJK7P41vRW91wHjGntZAWYUgeDw0GX6qtT2eriAH7/gvbo79y4b6lS4q9n8bt0j4xA
vNK6x+9LCwZJrgmrAKVr4jPnY79ybKnWPZ80+gQTsJIBWiFa5Xj2pm7YFm4asUiFtI2bC27RhP1R
V71zI54j0ULogklkKvhIyzKIdxMPVNgbret/8/gma6yHxioOo2GL0cL6hP0ocN7M80+STvFdW9LK
EyolD27jIh31zNvvnT1ruY5Z/R3t0c/kpp6cmYrSPgAVPdY2ukDgdV24stsyAC8ftQVHFieaNwDu
kwWMFBvPnupY7kJg7o8RO/9z1Hi1R6zTpOYGW0G3Kq1CXBImurMSOHgd+JSUGNF0lXUjXtvZ9gBi
h7H7o8SdhJmDQhWU7qa6RAWuE0wJbb5kR+OdU1PXZYfpcnXRSuCuksKNxz0TooNdso+mx6AyU28f
5LV/zHv5EolJfw9GreBhd+4x8qGSc3zjRNxY2C+5E07vo+BouWpCH8tymejK2uRAR6J1gvNtxgoj
g48qDqJh47USO3KNE2m8oq24R2Uxm6zw4wY4msZelJe55iiyosVrPNaEn7wNYxUn84yD2j0FM74E
qZLY98gm06MvR4tRqBKj4jjfFfc0KWDIskMydYw8tcEUaTXjhq4Q/+pzOwCBgidiNcRF+Rr3VXtL
B6evt4pmlbt4URSMdhEXgkVngKxZP4N2N4qNNaTuxlwUCf+3OCEXnWLUHkYyW4iH1J7yl2bRM+AO
UHw4U75UNhMz5m/hg3xd/iNLeuSQ9Lc0wlHSf+jSuTC+NQ5nDHbf6Cj2b0kl+C2vJI0EWOcuqovU
TnuaS2t6x4aJ1raoM9ai0zDob7ThG5hYFhXH/C3oEDZ2zyIas10wjfKJ3iakn9jyxSPRTfutHsv0
FsyqpCtOdskDQnxDEQ7FQPDVAtF9kDjCC+7SPuHt5aI5xYv6JIgtEgMjz3XXo/shhWIiJvLshCwq
c+bGe3pu0bK8sePH4aUdf3F/RxoyxLRrA/x+vhHxI5LI1BeXezNkXCc7ypy2snZCQ+PeoI7ZoquN
i8IGDRWxbVx0t5yNMvnietmpa7yneAYR57JFp7N+S3bBbC/yXYeSx8qc6W9kSj/3oe//ftsORijO
pSkNDqkOf+RoBdtO+D8yh+XzFNJnk4OmeEWTaY5ZEwQPkSMsfmr5w0ac4oPokV5WRnOhtpZbjldc
kjmM0R3rYxQM5cr3DLXmOACfxCRF0TRudp2p2Nm7tdHwBVrZ9xUXuruaFvkT86oJImiwN6WY0UAk
/0hD0/iAaNk+SuzFZ9dr3WLdNQJ51QNgPi6SK1mZYCPLWu2XueR7sUizfEo9ot2/FVtquVBvidWJ
S4fnmbLbkBpNJ1zEYI/GVxKcnQ7cLZVRBFsRiSJnN1MIgqsI4ejVz/q+2raLrOz+Vpjn32pz4i7K
c/Zbhe5/K9KhCCYw+9Rj7ylpQLPGEiXfidrkr1gBeLvwcLrZeG+Ybn6bTf8pV7G3z34r4Y4rEc2q
Tjh33W+tnHW1fQ8tDcmnF/UHHNJ+1y/yOnoz7xe+X1R3w8mqD8drS74nory9yPOshdB+gkW0D9vO
unTczriKFlE/+a3vM3eh9RchtjFqI+z8k3Xse0c72cabLapEpyxqThkKZcBKKDRYDKGV04lWxDQu
Qf8rb+RD+mudZfOj61tg2IqR5gC/s9j8yMI2djQI36hB42GNm+eOqIHAFMAlRpetb3kbBANkAgDD
TkXcwEXNwyC+oT4UgSJT7fcwahtOMdogMOl2GMbZ2RKkKTOCzbOle3clJ6mPYeYHNZLD4F/6kqjh
qiGbT/rC+Df2zmTHbSbN2rfS+PdscA6ygd5opJSjnJPtDeG005zn4Hj1/8OsAU6lIMG17kV/QFd9
lSGSwWDE+57znEnA74/j7rrSJtyGPesIcYk54t4l25P6RY/FqBxIJc7MbctHn3SRYkKFxhyAxAAW
at/FNV8CE4NE5WHOMAfi0vwQpZ4w2X8VqeE8DINmrsgAwB9jUgu8cuqEhTbEHrl1CjuNbyBxJgP0
HpHRenWG5xoz8Bdaw+J75Tsx6m16tZB8E+WnqRFC7hSiyrdVU1POVYJMJRdHm/hkVCJsYSaU2r0e
0Xgmlwr5fdAKnDS5akbLVA3UXenEqbrMiw4Tt9Ha0GfpYxvyysaxSdnyfZP9f22PS20PKCNnj3U3
P6L87cOZ7h//i3+e6WxYJYaNxs7QLZvgJpdj1b9YJXgZHVWYnM80EAGzbuhf4iDx36YFaBMOAYeZ
OUX13+Ig0yAeinqWKlSo/5z8xN+0Phji45kOwqaBN5Jz4nyos+cz35+NDwBZBq6SySv89eiurfGG
0sOF09mnIWg0WNZMRuQncxT9OITft6kS6ISmEI26SCARIUWERMst/Xer6dQZ8MIo84X+cSHUUgfQ
7Ywi8u+N8r0Y3qR16Zh5YYgjIaKICpN3jSHa6SDUwxitqun1/FXMf+IPreOsKntX+LnQ+LXP8GG8
2zpiRaf2etNBnKpg+4rK4pBl1RZHafZ36sV/juZC5oF6g5f26MkIzJKS73LtjUVAJGDDP6JMDOs0
KNPV+Qv7NM9m4a4+55lZOqey4wO62pCiBeqeCwud4HGIcQHBWdBuVLBXi/NDfVK7vQ9F5BrlEpcR
jx4Tomx1RC9ae3mdt9cJ2WSIu4Gp+8M0LKpgyLZU/sa/nRsMqiOzAx1NrQ6t3cfpZ0VAMBSENt6Y
cBeRKtP9rh1zQYiNeeH6PtU65qHQ8Qlcl0C+7CM1X0KA4VSWSu1lY4gXJvWR9CqVE+8SnZMsDfnq
vhw1Eh/TKbxpUxpH5+/vPCuO5yg+a5Yteq8sTUezZgzMMlSToPGcTBnWds4F2lX/dH6Q+SKOBzF0
JibaX5bI41yKQSOEQLp67YE807aiD5GeB8Lwb1MdTt000k/pWqr1ZGzWm/NDn5o/6CSJgiWDZyYH
fnyUrmWSD6sbtcf+c1yXBgo5qkgjzV9FRQNkBAh2xlD66/PD4n39/PZzyjO5WJ2PAkzXozvbkLIR
B11Ve8AI6p/kSqj9OlJ7ost6Vh3LRyyJ6oyUqLT19waYk83QGDyCeCCFdej6bVTW9bMeToaGxL6J
V7UUB93CebXiOIjhqiZ7k6xg0rckDHGt8/0HdoVt+J579DgmDsTaWMRX4HLF0inK7wiCkJk5DTJJ
rfPauJ4P66G6UChtgGQQ4Q123RGhXVss7AhGKSm18S5UU3GlUn/7pmS01xahNYbkpCn2Fed7aguq
0qxDxUKVFGQtE3WQKTEhSXvdutn0FAFTWoVliC9CVD9tPRN7P8owYigVkDcxZVtTb65NUkqeIPmb
B7JJta3SinRdYDnfkeJJO6PVzA2eRHaEQ6ndOCoRv5iyyELVh+6LIQCTQMGT1wLcOuHQjj5y4mu0
Gx+FrFfELLtB0YYHP+76n65EA9ZNBmYd2x+YBgR9EUk9vfWwI76GJQKeFc7C6cnubdKu+0l7q+sB
OrfVmPK3UhFRsBziVD7jDccEPNjSPHSUerDfcIMtk47iaOnEQMhZFTpaNgdlX17TCyc4KZptYD7l
elrV+E0oH0rBnjxWbsmofZMN+/R+lO2veBqezEl/c2n/fxt0elZmq0RfZUIbVx3pxoKI50XKe/Nt
kkXtLsK+mry4YsWI05KHYPmTfG5V/l428DviQST7zLWa52ie+lhTxFVGWfKmzHp/beDq2rbs0elz
YXEKcqNbuXVZY6Ny1C0FHqI++OAESxc30NqBwBcv4WQFe4uEJI+SJgPoEzkuVSy3hKQmXmzF3UNS
TO0D4S/8y/hamBiItg5pwIkHqwihk6y9FISIcu/QL945LrcTy7fmk0hX6iudbdOt7LEw72LdzjZE
0NBgI2pW85dt7WtfKBAFhzGI1Ic4b5NhgRrPutNTwoLDIFC3mln7rz5iAxQJuuLf6r1bwOTBQd/O
p39w0r5v3o0hVrKRjMUlEg5zP5Z1dV0pQvuiZVO3s93SvvcVQ9lyWDXuhZYF171pYaCppoOkmsCR
zOpUrw0rW99VNdiwth1ouhES779KpHdUNvtCLgylVbZEiDi/zThxfiuBL5cNsrSrGhnNa0jo6Dpo
KxMpLKYT9GrSXfiFO98PnybnSpuGXykwz3jZdIRmhEGpelqjjV6G3vw6DQLzUUUgtfZHEC8MZmlb
IPn11qJU9tXR/Y7ilBUe1KxSvY7uGyHQ7YBvB4+sscgIhfipJSgMKnx5t60xQHCFV3CTt4F7R/nK
eExdifudEp+yHirNuur1YLwnH4JExLJ27uOozn+MuHQO9Uie9BCH8nbAsHytDWK8oedvXSUl/Eut
srol/Sr7oaSwspLTOKE3VRwATSps0EWFqCMEjuHLQz2pBHOiTU0ETBfbWkVIHKiCgzMyI1tmizAt
woeKfM1f1mQ3ntaxCEEFaLZMDVJhEM+jsS6brSx6tLVNGTUrNpSUB1Szukp7mypOWFTh46RnnKAx
oPI3LYLFV7ErKB+KfNrza4NHXSum/ZiM1RUdghnt7kfVMrZzzEhWFrs7wLSYWymTrgSJ8jsLmAdw
qKGgtTdX48MkQrVgYwZbOkQgbjggkBI4QvFSalILFmHljBsOpeC3/NanLIytjABqyX0YMFASWQpC
O2cT8EoHU7KMdckhpe+KqxMOhmQV+I7VaMJ7KoSHGq97Eyq5rHrgWFdEEBLaTbQ4tFAlLn80SaG9
UrRtRgr8kf+7AaT8PDZoJmlHkfox/+t6blvIbUw8mUOQ6ZSDRH9HisVw1zgjAHAnKcY1c/hdwU7K
kRbgmHwfMsJkydahISquHXWXqLRUqq+AgZoXkCeEA5JJgTKjBt4XUV29yQEXLfUm0L+Y+eB/i82w
eO6iLNtKt823ljX562jSCIVX5rZ9pbpLdWiTvV20P+iRyZ0D9o3g5hZfIzx6df68JyyedXfrSpXb
l4e03WvNjSCkU9XTFNxwi1ErBq9QXGpSTqkRZIVQFSuf02V7BEJDgtDAlu3KnMMqQfvyg9XBnjx8
k/aDRgX7q2y6iQjJhkdXZmQ3WqWTs5+xQSxNZcuw9Gj9/TARFafVLbG1olIey8jue/i6PHrHgFJb
CKPetYSs/AL5RDBBGiNxqm3rykd4Q/Ym9kGq8ZS4IMA4Ww6i9c4oleS5dyn953llP4B1VdYWuuyl
Q1lrG8CHmTlOkwdEiuZMLIb73sZxZmjkXBZuQx3Cp+Nt1KP5Q8uqdJ2XTHBqTARBMaOXZASgdzDV
/C3mG77TG7V5JHB8emYiBfd2qAR3Mm7dhzzOuqVNnA9W6DIHVGbYXyVnUWBTuMQxT+dsxRuMvVvd
V4Z7KZMJ0ZDavXXEAz5lovRpG8hYW805pv94TokcYLaq/NjBNPqNStz3rRWlIIZpid9TGx33oCXa
tWIN0be8bZyDS2z2RqHh9GK0o/nS1Yr5ElvleMuXyt6EVaisRgzoK6U0Q0/4fnEzBUr9pcAOvtbr
PFtjKxlu3++6tMhMLxrHudNnBXWeF3z4mvgKn71GqkqIrL2lel0wETcDst4rUYX5Onfxy2ejNDA0
ZFjVa9XkJRbuuG/1Mb3zHS3YaVQ/k+X7XJ4ccntJK4CLTKnhakLTeks8m7/OUhEggKXUvbCsPLkj
BzLb2eNgf3V9OhbSV00LpTMfQwpjPP6pmm4S0sRvNAq3tB5IWVuqYxKyBGral1CJXutkHG5ZFMad
DqfkTtTThCnUQj87NiWxCxTwCBifUJtNKBk2Qkvc6xRFGLYPEQMuDin7GXqyN9vMuor7iSah6JW1
X5fDXSUaPt0ipDksqkIhXHnKRLLSYf1EC0cL3TXfpm7n1tT7F77ZlDcE3+faMhd58dgWQ75pWXDY
A+WCTqSpy7uKUiaQTkJDgzCdbsZeK/eVb/cbQ9ewMeO9Vx4bVUXaRUmeHbOJoDLtWDbUoOHVxN8I
TbuJ0A85HV5h6o35Vmp5+qy2TKesnNhWu5H2qgbmeGNm9EohzKmvKNQJixqiglBZk4zcsOHFjOge
7Kehnw51IsTe7k14aaRBoU/DBk31tCN5IHNtyoOyK1jp8saYDqo98M4rRkoOms//82gCliA+jb7e
dSsVhFT8q/exQUkX20zlew2OjW2kGhPwWB9GDBbG+YruREhkCcZdMItTpDfLNsoe9IG0O1B++Xoq
Q2XL2R6Kk2GN+veRWAe4EHn1gCwGO2kSKVeB3923tLsXyKxDyr/Km1NJQURC/tVosRCl8ehfcxnJ
KlULVk4raOqN49T9mhxqfev7UUcGti+vsATULSJJVazZIYb7coKfIcPxXi+BBSaNnf2Epf+zmay7
QW+MjT702bxvq3aUzvUFUMfHvggnmIdK4LFaAXUAB62p8AgCn+OdmzhflRzNnoyNgk5bU/krp591
uAYpbqojlV1ulVi5RMn10qYB6NjquN8RTt0MJT7QPAyWCf6OtR2R9L0ojK7dYvINvwdtZwHp1dIJ
2BD+aEgnxUNp2vpEy0ZFU5Tp4VUY2+U95PXyqxIkhCTqY0bhvGwhZgr7QWg1heLUgVrdduMEu8JN
tvhLWk8J6cQTTF2Z96ZTT/cxyJSHEi3ZustaAaJoqAldmmx7jQYIZXANsiLFBbXpqoRqnJpGe9ry
Y7vQZPXq1lN2hX3X8OihW2696ovA6MuN0w5JctXkr2zvtW8Dx/EbzW2luqx1WD9dFaOTJ6uxv/en
sdjJMXS3kAibjXRaXsUMes0ioSdFCb/mKa5oTbyaoVn1yw656J2pyfiQk8K7aaOx/mbX7K9ooof6
7UiwAtTzUOyxTOcv/ihUYqUQNz+r8xfS1jIQw6ETekOet1dh5Jg3YdbIFxrPlodqrN8jpe6ugGck
P6UZg1oMNR5uAYHvvhNl9itrEOYCSzJ/gI4q6DohGthriW5e15ITuK1wwMZzkZucdRtCcUdFmk9G
LrJ14ltaMtuCwttCGd+STjhf9ULka5gSDkFN5HJbREEu4y4b0RCEE5/CELTJosUOsrLHmpUsTmMv
Lrt0URIxy+Pla7sfOVWsitCYFqRKrYKmnFZ0WR7JCMZYJSloscovqNnCeHZHDsVa+VIbMZEYNqHi
C9UUAJctdsZbIgyzxyLJims5pTrR8T5bqXWQjX5A8yopnRaLfUNWt8dxyVbeRomLHP2HtdNa23mW
Cm44zp3OllNMD+U48p9SQ5HXfBTTe7aK8Y9BM4qnuEqqr2VbDmJbKjR5FpFP9AkN+NmbgZ8KdIgi
8wMc6z5fNgAXvie1jRO0hRO77/T2Legdcouo7F4TQZ5fGexsf+YlHowRxfvKVpLbqeho3TeGkm5l
Iqplz6O6TroSoR7dHHlLITC4jdkMLWIzjRs4WlZ1UwfEwTc16k/e/1+oLOlD8k3DDkdbamH4EspJ
0bT3CXKklRmkIdFZjcGHS2hrLc/8A6SX4pUy2Hczbvrv5jg8THhczY2waSgpea9t44rMblkqBlT5
Nn0AF46SJwyr+oulpnCdfLuBWNYCxe066CjMeJqihbkNQ1tc6wn2ugXkAbELcaN4OLOCVwRGzQJm
U0HvUEGJEgzikaMO35PAzb7PgIRVGbgvJoDSK7UEX8Bf0fEJVfIBEuwvkTr1XUdR6zWYfJhkSe/g
mzXG+MZ1p34LJ4w7hrJzixJnqKmvcFMMX7wQWm8+Rh2UsriNeGGJSVn0OXuqMbTdjaVYW2mE+j1n
kGcW5ORuKCd7X1Uwa2Uv7XWZ5v6Pwk2mZVr3DmVCI761MWLSgQNqtdAhI3iIp6pl0PX5lxz5CDtc
hXpzJnfSGbODHyn2vajUADmQrd+CtTJ+awFa3yLuy3UNpnPvI0G/y60hvCZHB4hhGbtArcYJl8G3
GKiVHybNNmO5XXfA0VaTHNSD77c22umyXRZk/GxHGroPkhUX1TQdY9ft1G2dto9Bi69qEKq9N4KC
UK6+/h66ufBi6D7Lno3gnoVU8cA0dNds5cS+N3EcNEGVsP8t8t+tJEFjlcry1aji8lvjAAvkCFCF
yWuhxrF6pREOdQX3N15RLemZbI3+2OrKMC7hDFjubZTW8DmKvIIVYtRwqzZVThl56YS1e0uMZPqY
Z8RJZNbobsOoCVYlJaxHW2/eiNZo6S2yVakro96rU/9TWJwarFTP4JBZHJKqDvY57IZdFrna7Dfw
FKQxe95/C5Gz/ZwR60oqGUYHdoXpinLHz0aP2hUirxlcyPd17HuvHewfgiPIEE/XVq0e2EPZVM4o
Eymto/003bS/MgtS3O3KoJCS4BkIfM3rXMX/HdqGdW+pin5oBvd3NZjKc8Cr96TrgsgGqykgCLo1
9GWMG7MF2iq2JBC2aJFgLsK/wVaXUwE4Xwj9XAXV6Tqh5DMpcdMZpvX1ZyfHaFy7mBMYPFHF6R4U
5BNS68kLbE63Lllg/0Hl3qDZopo4jHDK6x+HC+pK1RRnZLhGWo+VXm05AaDBwJhxod2izZXjT0Xt
OdCObTgdF/W4sjxN/yxq21Pb/2zei/Sj3/5CAz4sFGzb+NNtdWs7k/oj9OcTJbS//6B6D1XABkZt
kEX6qXsgDElwuFp7hgjMg4VM5qYMqJOef4an2j08wrmGrdL4fK90/9GNMwffbM2MHsx7O6TD5rk0
3XHAxRGXF57fqXaECWQBWxmlOahDH59fMrQ58saezhKI05XeF99tp/h+/nIujXHU3Yksqdu8rbWn
6RImQr01nexwfoiTk4P5hy6QqWiBf/h4Ha4bO30Nb9gr+YDdBK2q7/Uip1re9dHXUKHVUuWdOkvJ
EW8ZdP/J/bnU2vn86kGvBWTh8P65nF+OGhCmVWJOKwgrCjTsFRLB4RKpenWdKnG1Awqbr85f9Of7
yniAMSCnWLomjt+9ir2VM5ZG5WU5kBnTHg9oBsWF9eTzXDTooaOZpr6jG7jjjm5soEkcv2nlYQJA
z1mCLCzKDrYZBc3zl3NiJC4CUg36F8vAlng0UhNF0zg6hcfSRkai0lzBjngs6/j5/DgnHpMmTNTY
PCtWrnfexx9vF2TDxHBrUXhTpJLV80MhnzZO8mVU+fvzI30WVjuouP8Y6qjZyEHV9jMEN17buVTv
SLRYAKf4BycAKmCXT08jnp0tina/XlWmdFZqXfnfSFFQiHLT5TqmBbTVG87SGYgrrOLmlOwtJy4R
J4MkCfpwuvFTNoPgN0lqCigZs7mShHIDrtiLLh1u+6KljDW2NvnqlB0WvR1NFy505kYfrc20Minu
I6O3NMygR68fFiTFcPOWe9qE8sXNcvUWhtkXmErRj2xqsUukwJ7q1P9WD0mwETAsaFzZO9vGumXR
ntGqMiGQ9SkDS7mUNpzRIvtS9g4JzJwuiTCtyCfpKTpEuBn9OjaQ3fbkSdUd5jQlVsi0MwuT/L2p
X0np6EvGiVec48V1YqJliMEyYvVGVOUG/XISwQDhoAAL6gQ6yjBweeqrQKt14aN1Yq7pLs1IFCzY
f3Qxd0v/mGs+6ZC0YUfuS4w5ryMAY8dTH7wAABfYXt/ovfNT7nPnFy4qORcWZgc0v8ed36owuw6o
JShlRyKGjYpsXaGZugZUKLe+A6w0pP7yiKg5uJCoeeL1pa2tziYKWH768etbB2OnhK2de5x1x68d
Lp3vFUXfR0uz47e/vki6vKxGHHj4v+MeOs0RNp1jSxJQV1MaxVABSnq2wilxXu/sJomcZUOXbVz0
OpW784OfuE72Vbidof5zk499HNAjW86eOSnT8Ei3VZ8/BkNAvzce67/eBpB7x/skUBjh1p5dK39O
Hg6CTYA7MPV0x3kZx7xf6c6AnzI1jL+epmw3EEwhjEKGoR7H7JUzvDbo2pTmYtuvcH6AcInv+t6y
ydqxf/3tDTRVgwvTZ1sNPd2jL0oQpWVuphWXZWWGp5RjXtBIoLDbpEbSXLiHn19ABmNrw9bAoqt1
/PmqaBCHdptxZYr5GBrKSzU5v+LBeAx6+8IeZH6XP+5PGQp9js2lseZbR9eFWziCrkk3dk6PMyiY
uIUFOSXtJgTl3Z5axaXd6OkRXbai7iyAO47nVrCFO8U8YqV1+8QtfxSj9mjMkGHYdSkWEv367x8d
G2/IPuw6GPFoRloN5w7pi8RT2nYPy9MzzQTrtXphmM8bGxNqHRoZA3oUN3P+7/9YNTtHJRGWP+3h
fldARqPnLQe+iOcv5vNSySgaiARWZvymx2kDg6IP+Ju1xKsNjrUc95Zp3P4WuX2IK0lXDeAWVKkL
q6T++UvJqCwcwrLgpNrHrxpuV+mif0k814LE1acuZ/G8TKabwaVVN+V0spoRmxIuYRPyCY6Zktq3
KrZyqIJdSjNpgwn8cRqt6ovbJskqKEs2B/O2AC6ndYU2xn5y9d72AtlYF379yQcz0yToCDguWv6P
D4a+ZJhS3kw9SlT5Oh7dmFRvih3nH8znFZZbhK5SuARGiU9bzsys+IwERerlUiAcLjpPTbRHR8hL
u5YTLyzpFextWYcgZRxtWiyRGnlJiK6nD6VBN9sPMTGpw+b81ZxagWy2AI7ucCjn3h3fM1UfglZJ
UBA0WM0En6nBauW6adLXLkaMfH64UzePS5pRhxgqAXx8HM6RkY3ZgVd0TPxf872rI/uQ1f7L+WFO
vTyzX1AgyeVgcDyNhwYUxFTw8qSR5dwno0ad3bd+UXEtNnVgOT/7tIxJhbCbC5+qU2seiliTfTWS
wU+HHuonKobdLvECPDsyV4i9CjZl/FzG0wPL9YXRTk14jj06k52T5Se1YMo1CrtsEo/E1WSb2Rae
TT1WVudvpnZqjnAThc7nyEDmfLSuuq0+ELZVJZ7T9upzFKrFBsYEopTY6FIK9KJ/ijWnWLYkbd1V
Y57cWqkwtqGDsIsYMZvuEq5rrQIcnvYOTdm2jS+dbrWTd15wwubNNPDXHr0uNUxmq88yvjaDSa1Q
Vj80OROlDafZRcJ5gXlREj8SUsnMjeg56btm57vF95C2LhwPCb8L2DpVJBditQIbNeQ6zt/IE/eR
xhZbUCEMd94ffpz8qeA3RAPb7T6ffpWTJjdqiaLKT2lijz/Oj3XidmjvQkNrVqyy6/44lq5hfTQd
ydbe136pFBxWmaX+IEYv9wTYPXzxtrywwzjx0mkaZXt2NHyxPm2xuzodhzoouLzY+hpGgbLUad1T
zKynhaGP1VNV99WKlmzn/f21ahpyTipSbBCPV0oTvkNUO03hcVa7rWCYIM9ND8iSQfYkwfMI2O3v
920MOJcB8Ca7LGVHd9em5dCYVeEpKhHoWNRoTeaGPPSVm3mZzUH6/BWeWDYZjz3UzPpks3j0BhIp
b4YRARLe0AVIuM26X6lVUa0MZHH/yVAEsBqOzYbROf6IllDZZJZzRNPcIr/HiwiDWUj7Kmo17cLy
dWqOGrxQsw9hljwfzdEOXUw+URnwmqx9bMPizbKgDDc8vyioDk4LNOHvb6OB6UK3cLizQzx6bNpA
wV1vptybCMZYqKL/UgO5L6kDXBjoxMKMtli1DIPKMzaO+Xn+sUUspx4ZiM8RkFSYl2AYts5UPV64
FoO/cbSh/zDG0ZwA9pzEJjk3HqpebYGxiXgbq7G+6C0hrn7aE/ITqACi+7pcNXYcPBV9jf3LomFD
SGFC8a9FEpWTY10Q8bpWDE0jVXpMvciQ9R5wSnjQXThN+dj53/xSzbdZg0KD0+24RAvn70LLQa2t
DsO9pdUI9jB7aV/IRERxkWtNsimypt6qXeWDPkU/doefid1hEUGwwi57Fw4i3Gp1M+5SC51WZ4TZ
TUeuguck7mNUJM2SO5xsMmpFoGNRC3kolLJF0U/l2m9DC8Vg0l/D8Y+WfUTMwvnbe2pu8hUXGvPE
oE9xNDftqoERYjM30Qr+qAb5g0yQO9NQNkZWrH0FE+/58U694ey52exRvkcZfzSeFY45QNMx93C0
zjWn215Pdr3ML2xeP/sLTGqlKPzZm8xhp0fDmEMSwvx2oSipyaEsoxrhkPOzSp7oRN3QlV62lv49
qPMLR6ZjBhtulHlcqrTcUQ7Xxxsyt8wqHMIWNZFinL6GoJQWTm0qB9Tuarqmcc4Zp7Iyfy2Trlql
MBvocOUs5BUpGhZSXyvulZ2htspGk2a+9FGHMeHKLcYP2lhu/Gpp+HT7AT1QIqZgBSEfDDFm8lWg
+Q96YjZLZ7LgKMnYTBYSItk65vesZFq+IfzW7oGy4fEc+mqDo4v/PJusZdjIeC0UoT9XhnXpUZx6
4jbwFuHiR+CBzI/qjzUiUhsryxOAVqr8MeIdWow98cIaKe/nZ9apteiPcY43Rl3ZwSpzCaZ2rNlQ
SL1hCfFifX6QU1sb2xCcVnX6bfbMu/7zYtRKL4vKrHOPppOzHK18wWH8pUgwpofNeMF0dnKwGXXN
xhd32/Ehwq5ZjPKUd0UJbRgbxbTtzHKDDAxBpYwu3L5TCwHRglQwZsvep81vOo6GHSOl8Oq4PuiN
AFLpjy9FWr/JCPNWaF+4k9qpeSHorHGAxUtFLPfHWzk1Zcr9ZZ8WD2mI1UPX9s5U9zudWvyqMJQQ
GkMll0PpGl8iYky9MUDZHBQR/KbASTbki41PAl8AGm0/MKcL9+Pkz2NBpIxE/ZZY9Y8/D9JzoyQh
25y+Kt8MN3gO9e4hNWgmn59RJ8cRDidFjr+zb+bjOA0JBmGJKMfjJFpSzZE/8lHpV0VbX/iQntq2
UpzCvabO/xBH76HRu8i4EWB5EuF42KBz6/NDXVj4pbW7tKges9S9UKg4NYH/GPJ4wxpPZopQR808
cDpbaAZvrpmicLX3dXEpX8A4NX85kdIkY/vIWfjoXCRnzz/RthnLjD5+l2H5u49csHkp6TiUb4Ol
UioRrBw1X0fVLDhWtFmeVaP8cbvmxaSo8uJXTuO1OrJlrC2YDUJZP4BmLFZODo8bIrKzGUTvPDsW
qyaUygbVhNIMEGHm0mah/1Z78t9E4axIcfsek/iCJ7FcY4J/i5yuX2SjEa2hMesPJcpLPva6dWE2
nboL7uzUpcTBvD1uwKZEygBULNn5ldNukpO2kKr5YpXWFTVTyJljf2HAU494tmfgGBQUW49ve0k8
5lixGfKiygX4VrZ1uYHFSEhI4JP22czC1PMvzIlL5Ls+u42JOWfnfrS5dW1Si6VupF7iBuY6rEeb
eDV2aGNcNC9xrU2AmsLX82O+6zWONqFob8hkJbSc0t3xdz0AGk9nNs08O5vcZdi39oMZaiQMGaN1
FRZp+lzqmQPhDsnWu07ZCYFOZ+0k1xIt0Vbp4YNeuPXaiSImqgSqPvOqDfBV/7h0BIM1laDMWTom
Hz2bQRQWqjRj0/h1s4XOZSyYKcinrHTtAg6CYN0kyK/Nf8KEfw7/E7wV9/+4Df+FBuaetVU2//v/
jBNr2OwLR44BGZdG29EPUZFG2JmMMnzLsUFrZBY3R0Y6HRBY5tYVj0vsZIwkEZ8FuVEpRWRNASG9
IFqsu++NXt2Mo69+DU023rqc1K9si3PCc5hS2CZAXg4u6Y9t+DaiyGTJ7tamHYdrBIPmqlZy6YV2
JdZD2IqVE1zpRWI8EFA73PHa4kQBpT29hE7r7lNVfFPnoLfz0+PU9dMBw4Mu5g79ceGIchv5etLg
+tNkeAjx53qDPUQvkaaEm78fCvUlWgPc6Hw2jr6aNJ2qCthN5rkFNMqycmZLz1AmezdMg5fzY70/
t+NZP1d/DU6vfAaPj/+5Yqdtn0UcDjrLdxbQmUYcHxP5p4SMdatcpNqVRsT4vRyIj9F1JTjoUnGX
MLjLbZmr9T929f+Hb7iIb4Cf8Mez+5Tucl20UfMp34X1kf/Vv7B8zn/Pn0dMhRQ73sl8/0Y4uCZx
1IKIIj6cnADfS/3/ZDgYgBrYf6pUl6l0uXxS/s1w0PmDTAnmPDUGulGu9jcMB2OeuH/MNco+hond
fT49QT//JNtBmd23RaTVOwvuCCtprGhf1BDvh9NF5aaoYofIu1Kor40i/EcRupi1stzfK3Xk7xvw
TXCtBS4j1c63yfs60mmsMA64tUenzIA/haUFiF+V7lIDLX+n5Ur7FtekxAxhkD6bOvDTd3cTqBIf
QK5JZFqui241ax+XWqDW/VZmM2WiAs7c5u3wd2VT7oCJKH/eDM+KAWq7H5fzGNYWnMGy3EEKG+6h
SLNJGVuXBVHO18Xv/mOKnFi2j1at9/GoIoMYoD/BcfXoQ0ogvDoESVLueqXG1xKkyHp7Fm4fh9f5
kY4+2fNItAiAQ5PAPRMUjq5sAiyKIsVOAZAjodGh7wACs5Qt4dXRAxGA5nYMY//L+UFPXB7NCWgd
uODnHsz83/9x7oxVndAM4GG71saURGeRjAIOa8JatcMsSvj70WgbcGJBy2R/agIHrtNHeRaT96r2
VnKT19mESxqg+F2buhd28scyu/l+0rmcd9Z8cuZv7sdLQ7uThsSUR7sqHFIgzCEoxhXfBTaq7H8W
4RgOd23datd9k3QemaayXEcNeuq/vWa60NQzTXqE/PO4D51qjRizFuBXhRYDTlIzIqgPfP/RtctC
vTDY5zlkqZSiOQ0jNqHWeLS/r+EcGrK2412pTdOhcOpmJRXe4JJAnJAszdkQJXJsNhfG/TyNoNTY
c9XdttkzHatckiDuo8Cmi5ajdYapxtPsjZYjQh6RUvtXNxSGDn+flr7KokpP/PjjbkZKr3WhG+0i
cIzo7kdB7qBaj1fB2BtP58c6Wm/fx6I8zK0kks6k9/pxDsWZtJUa9NYOP3KvrQpgT/s0MrpLm8Pj
Stx8TRZlb9dmkWG66h/HQe/W1HYxRMT9Wl0MjAoc3MIcc/jInWE9hFGUEdhD9g87C/if/hpQXnhz
/lqP5s58rVDdWeg0mnu2ejx3YOslUWVJfkM3y9u1rkK3NinBjW+M2b7ANkzl2BgvrOfvt/CPT9o8
LCIwLhwtKt/Q42JRF9jAuXxBGCMy15c6trM9BazxtozzcFsbZY7BQcEi+F42FksgQ2O36+18+EXo
QVVjzXKzfeLnZOKoCsHL5IzvfSRsF/pZp36nxYNBd8zuADXE0auVWIbfT0JRPMQg9us4tma97KrU
5RGl8CC8HB81EQSxIgQQtT65UTscnwsj9/1dmxTmlStdH5WbY9y6it2Ijd2FRYzLyBXd9vyT/P/s
ncdy5Ei6pV9lbPZoc2hgMZtAaAZlUiS5gZGZSWiHOzTw9PcDu6atq3Kmy+7+LkswyID8xTnf+f2q
XVs+kCqgckH9/fVPFaGE44gTiRhsPKCEvAVTAXqu7Xb/+ff85a7n1KFn45Qxj1nHJX99N2aGxUEx
2oy4kBoba7ZgdZZF7V6VreN++8+/66+P869f5iPW4+3ogjr+65hkDthnOKxMT7puUJIE8bAFG44b
kVsFirtKIua185XZTz4wEpkcMLR2f3NgUbStd+KfL9eAPQ4yNwSkJP39FW9UNsqwuDPio9+PzXzy
S4uHaRdOtjolvVruDdsTH26KcTojmZeEN5UyVsmyoiFEvBLuVZsM8Tns+/kOIxRm0xa/ShPpsusJ
WC+q5bpMV+Mp6aYPS2nHnwOoiGc2Mcs1qSCYwELdYEXUE678Cif/0AgeuG01Wg9ujxXdSwFAdCRL
XVLpzP1WqGyVJWFenZOYtrOEF3pbNYyZy3gWH4tBGdcibFs24STjzyowXHWWDOiXjSQ3BJGs6bSQ
blM6c9tfNzsGvlWxkdpy3tMwNn/QE9tPo21jgp3ioSIhHU/AZzl0zritOmKnSF3N0+vE5s52XB4t
ZjNkH3AxEuzVifsJGBgNrASKYkDTE0HCBidMenKpPecwOngz6aGm9mfgE+Aqc+2/BnpsggfmVVxv
3P1JsS/qkF9PopdxHzCWXZGYvf+64FfdTkxAriF7EP7qYoFIZha5O52NLYEQq5ecFnG+5j1TPms9
wztYDy9G425nyVTcI1lPC2Kt/TI9xWbi2WdLVOl1gRUMUfSS5oCCv55WvTlfNd2yqivNyXiTdcEV
WYvJFFGJNAOlqeLYzQQzt1EjRPpIQrjz0kN6YDOeCHlnF5AlmI3wOWOapddeR+pXq32c24KBPULi
Zk4IN4U/s3FcXgrEzdlPgRwa9FeMRs+VbWUfJWSGvdnUzjuUUIMAbvyPzQaqznLvjnBKo65opjv2
cNNtNjtDCprCzN5KlHKniUinZ5QCDorA9Tqsxjo+Bz3pEFjQ0Opsl8mkgDGretnLoeRa8qtuuU7G
mRFWTOs1b74QCJVrwP1eKuqcPsVaHuV8Afy1eMYxA3KB7YgjU+8p3hRQ2QFXr1s4010Tk31z7FM6
BtKsjEePZI41mRB/dmKUmKUCBjQLnNUJF+5tbZR637HrPCbjUu8AoLjRbNTNfdKl2UkEjbyCfe1E
RLNkW1xa4tq0wRr0Wnj4Ydz4Men8Xe2s4YKeLK5nflsUx65/Wy3+oQBYQaR3PB1EltuvAXmJG4X0
XdQzaS5Fb2+FMS2QQCwrMj2Jb3kipYuFB6HQHFXrOcyG2yyR4AnMcI8Z0d4z2KrPKDOAZRs4PItq
DDe64muVRdBEhHaX23nAR4a5EWq567w2IMOvCTC8bSbCrIfBnrbDHDgALi177+rsyYvRo2Pdt64Y
XUWiL9xIdXI8FGElomIx1ywZ4W1DxdA/C9OHNp0/QmW9qx4cSm5U9nb2SBexQIaeDBF8x0kYY2VA
EBrNEwuouFfWW2U75wXB6mawspvUwzhXON7jMMRXtfST752yll2KLfOclhUPYGetkSprvvEy274m
iU7fm1nZno3BLbbL4l1wjs6B2jhV7hN+uD5EkvYXzCJ1BL+REzQdD7HezImdn83aAbQQG4l/6d2S
P6guHZu849lantzFsffTWKIh6gYrvOpMU99SKDnpdmRZuy18UT41ak6eIM6O3+bapX6oWxUkGzUs
8zVLQXu3uh32TtGhsa2y5jSVHmH3SDb4pVTReFfFQ+CO44M/zvPOXvp+t75/SD3BU8IqBr7DXdvB
dPW508oTxHlKAasAJNTM1CIrYUsW0gMlJfyMR5EcCTrB5L7xk9A/qpzWp+f6Qw45y324CFClI5ur
CMBRdQt24NkvF701R0KGHYTAeZQQYJpvO69w8j3AGfJWEHvtZV64d6KfcLn6ffLS5cl4ZffTtsvi
8ZyPvSDTMRjDNzufyFF3pdVm0cBz8iTDJj0T9kGKozUy0V/wz6oNjs6OFqE07su58XfV3BALTu6I
qAjl6R0ZfHasjckskqb1aFWu/wIXIVwOws0M8ghHsovqnnpMTvqoliW8mQzt3TcloHEc/SoyOu0f
6aDDYziZoLCU2Te/FKu2nRrz+aw7+9oHNnIdxs1Y4iQzL2CAJSWM9A+Av8L7MtY4yGM7tmn+89Rh
TNGYj0ZmMH3oyvDMSSWR0iX2ipcwSAlpDM6PaRHtvU9q6WnSst0GNdHhgcclQKwOmZRx4h5Gn6hl
j7wNZA+Z81SQwHqHKhUGUmzmpzjX1jVHMNvaOHL1EJuHwXW5sEN57TE+iOIqtO4SXbpH4Mz2JUwI
FW3AI3yLXW1uq2CsD6VY1L5c2uC97/hKPGh0NLQw2gG11E22wcwOu2eQFnmtI6iWhIXdsxSTfdOL
oL4VS0zZH9q1t1Et5oHdXCC7JWp2KA9lIf1Xt/AY4tQ6uZoMN6gJaHfK0wzQ5ldHO37p7LG/7xxj
Cja2YpkTEUfAO90Jx2YFy7o3dOzqUFS+TwNg1ufSBOrTDR2sjrwq75TndrdBO01HW7dpGGVhcKym
pTmNgTQ22BqCq1pP8XXey+DgJEP1UUjg1zu8ZPoFSKLee15efIZulcWR8iHqs9JnlpSXzbPfgkfj
o3cNnpAS8tliwYCOl+FdQJSGGGK02IcUI2lerqKLAK0QkZ6TZMv2NYtETZiC22e7orJ+jEaothlR
7GAsQrvdSay119DX6w8frRkYDxSRAU7XO/i5y2F2CW2Cm97dMS5vP3IgKedcMw4veQg0RdJFA2b+
wn2CGwSb5AcBd5DJ4FVM6WdqkGLaZW2ZcmN3kjapMz61l0KicJV1k41u/wTNa/hwmix4TfqwkejC
Qojqk1gCl9feDOWlipiIsLz2nPmMJzhMdpU3vMwd4Tqg7DT5XSznNrlewfNjYUZUUeRVWLOPWEEz
1bB0TEZaOdn8Vd10dGQurp0xK0mxGnlnQCKfq6jse1RNPJxAH5i5no5mvOaUNQT8bjtksDzO5iX5
BoYKjtXkWsSuhROvEZPpENclUOUoaRfjMStDAaSDoHXFS+Fgi1UpuWTwMeiNVrh1uZVGxVFoguwN
1AGXMhMlcZ36ypIb32qmI4LB+BkKnv1uWMr4tLx+vMQBkZuuXPLIrPnYyZnCJ1MCHbF6t3mLlZNR
TkJ5IkDhicIYXUjsEd9b6AfPfk5A7rO84PHKKo2LqnoWrhSAm4wHfwDblMPrijAJ7B148ZtGEvZD
Ela1mShOtr6fkjEvG0Ka6LHJ4HHqKJyyj6K0Uhmh9fCwJ3Q1r8oE5bVh7Xtv/NUtdoh1N3Qi3Vjh
vmDtFBWVd7bayo1MLD64xHu4AbAFkfMbWz/mchagG69mtzr0i0kEHh+c1nAdUEIWm6qaywNp0tM3
7Vkp1rIguc7l8GkowBd6qeTGGwbrnDHY3bVMs85ZgzIrFIwHgBwSB6ea/qDSlanVkYhFj89bh0II
Vk/tkMGd6X2FRPEiuim/FOZ0KLxkhQ6kU4QWy9t243Q7egJ8ozN5R7cBEiOqIaA1UduyBzWH1za+
m8xWbLoyh0TStb+6xgBktsotTC9bw67Dt2Y2qn2DxPeqU8wOFpyr+djeYzR9zzwHHGU6U6fgpq/a
c2Xo17FabvsiPpOF9KSa+JpHLgMjEpxgSy6fuU6eAQ0/+JY8KKrpSObleyiy8bAUDCn9LvwwXdEC
EEz6bWiY7lNdZs1O1NbHFJoUVqCIt0FqnUoPdgwONLgK6mpKfUAXifejGjArWBVT7Y1r0BEkY9+/
LPbyYxqyk5f3ZIb4ZTZGczgnLwJ3E8rHJgB/1IAun4F+ZHVmH8xlN2igIMPESrxLL65+ghjWk+ui
w13aZt98IKJHoJ5F1Oih/25YTbCbRnJyBnqYS983xpFQiPU2n8XZtTP/O5g0CQ9ce8G2TcfmlKFh
vSUFZm0n/DCdDjXpZTtBxIQDU8BbLt3gGs0+raYHF43XT+EBPz8bqmSgA/ClBdNoDdZoXxFesKr6
NYDQu9Jq1s+zdJG/zwydRwYXRP2cEraQIekJBfR+ppoOmBORl+bebBOyBgvqoaNvA2K46chiy7at
UecahAVDU68daTm/YGO9Fb8GSQFFDrAYVzeajRWgF9CIYOwqU6xhNW1RwmUP4oDHC3Omdacx1338
+mULjQ1Nj7FaRPJsmW4077jnQMfzteG4dMkZCKdu1p64yQ03G3a4VJZ7+BA8lsCS2JE01+7EzKbh
V75Y423uzeZFmJDpzKQpzikcttekMhhyJ44Pz7F1OyTQDZ0I1CnxUdfgPa+7dFhb3rCD35S6qn3B
lE3pUBr49uHDNSdqez7a8KRB/jYNOnR9EpJ8E8CaGL3uzSsra5s1lH8bJ1V3brNEBZGFpy+63Yrm
PFkFjr+stWFRpS5DgZYmP+h9ZgTrpubr9w3KMXZz7TWn2AOTSJ8wHFB6V9+//pcwqEhv9mj7a5/9
OT6e5WjZBTy/qqMHmxp4Xay/IFAslD3/xAoGi/S+hQUHk70yLOi00/uvQbEqJ9YoE7qMvmBuXFaZ
EpssAyNkhPyJVTqC2FtAynmV277UWccXyHJOLc+R5b5l8HKHwtv8XvUAJ6l9WWzGKF9PjSunu2Ki
3l2MVAA16jEQqXlGtST4Xk7FLFy5tH16SFUduXOuD5Rq9PZ9X/rNdijiEcjPwlSE4SUPg96kOxFE
VmMgdXGrx6KquP7FYlzCOlG4LIzsIKBtpEGwXIVN0xIqCY2HkYwmawGU1QKIsRhH51LqTty45Hlc
1TlIMMBVDK9i/Elf152RwUvE9wIsb0GoQADycp92LcmCw2Ssf19KsKoBhpGhCG3Wfdmvx6SE7eeb
/CPnarqp/YHDxpAycky1XH+RFAlRxlPTy+Xan2NyNFclSF1ny95zuAI6R/DZ4bB+4Ir/SywW/GE6
BFtVEs/S+QrljPTF90rwIwRINCdfrv+17jhaJoBJUr9t6JoDH7Qjnyd0t6A0EQ6YrpNvi67Ah9py
3aewfS+mz5yV7GgafpP81s/FdBgq5VxN9sKH5pNRvzNKlDZR39bw1IH2vnyhCYc0rt/jVEx3M0gz
tTFSbmHH7tlNjl18jpVZvxeQNk6hniDCze1QCjzQJXhWmgO+oURK0hN1mhRUwKudOZSZdaFvaV66
cD28lSiLc19zmIa2th6gwORUWvzhVgvYrloq9a6DjF899e1wLrs5PqFq4oLsA6N9X2bQvoKJXKf5
ubDJiisevh+92w5Rama0Hp36IRERkN8akz07NOCW8SMcui7mZp+4A+N+Dv+JLOyaodslNWxKmxE4
aFxU0M0IKQi3yGICO7bMW2l7MdAXm7+8o/Nxt5LH4QEbJsMP1qLB1l2vglExmnOVy0gBfdIQwSam
Jxyxx509fxEfiQDHySrSqIn4UNzTdePG25rulAAnno+hw5Eiitx4XGgIPv1Y8YXDbr0GGzFz5bkq
PpMRVMXUAcBUDL8Ptn7g0/YFQJN+BR59ckSDMX3/AkFNQ8AWqqUgbxilIoRNKSt4M6pcX8x2kDfp
2PWPsKmDn2pw4s+sngh/c9NyxtTOm8nJEMnOrg9HKSRf9TSEMAFyUgIQfTYEn279mgH3tgQQN/9z
/Pw/Qoe/ETpYeHVY3vwrM+E3ocP1O/Xfu/z571EVf/zQHzoH313FDKsDXqCbxwXBYuv/RlWERAmy
jMLETVVMQuG/oirIH/TZLAZUtqtG+d+jKmz/H+ue1UQy4Ts+43H7vyNzWLdqf5qxr15Aygu85PBC
fksrkAL8eJUWJDwkpruwAnPkBeP6/FQRwgTWzf27vIffFiawSRjmM+3nL//dOsfcICUxzZuP04Su
VxgDJFNvzP5me/Dbko+vtGoWkPKiAftNBdi5LXNXN52OcwfbcbQmfV/UDVoC31E7YYzlxmzx8jg6
Nx7a0Z+e/u0a+H8pGdCa/PW44sey1h1fYHGOf9sy9jOPy9nvjkTglBMDtHTZlz7v5AEiBKGvaXMm
gBdZHNQ3xmCKKcs6xciQhLY8x74xCDKTTU27hjsgzSiXTACMwTIW+9kq+H9hXVZVZJfGMmwmBQqZ
sq/lIQlgbP7EQlE82HnAJBD44jF1XJ6wvqcZ2bj6O+zk+bCuD7KNSswZa4dGxLVhd7gchZ7MR+BD
6qahBX6k54Efa0PGH8lkfw+qKhNQ7Yb5MyX5ej/IcnguewLo2nySl9gE0A6HNDCjsbbkJY0FPr9s
Vq+oVfjBccrCS8vzfsduO34IB6ba26FVoj5xqGRFvhWLtihmR2wfiI3lawq/hdQPjPNxrmeerlOd
3rpw6PCfhNB0eBtAE/Sz5r4uByKThhVJl3eE37YeCJTFnjIcF9W4RdjRnIve0vfUa/F56f3p4Gmz
PGl4KjvT7obnnEbsWeeL942zY+1Af7ADsRj49t6kf8w1UpTER2KZjXJ+IqqgfiXmjzOjEZYdvTVM
wB95sdmdDC8ekYhHgoHnzxEa6JNo+JFZNO2LB47uEk+Jc4JQaj72DKle8m6Ul6muw0tVISXdhrl2
cga3sAo3Xr8IQidKtWtVXEajHKwdI7XiQXkpbD/WJEDf6+aHE/OPSYGoiQBjTFZHhk+g9ZxeEyHG
7RwY3Xzwsr481QEnd/bVSLBRTofQ2kR6kHSFMEWB4OWFygDZZ3h1MMy4eEhgFTGsS/UNqos19CkZ
fhWCMCUJVhiTkBA8NMz6LZv08Iyvc7kO9cBH2el8UKRGbsyJbxyOhrqJi/VmN7R7ayRiYOLId/Gc
PGSnl1bRADyRaO9UDr/Yjs8H4oid28ThTMRQcgj6VvO2on0kNJzx1OdIzvQ7U0o3Ik4qZ1g7UUKy
4o3jB0/E+gcu++Vajun8ZKEYPDBZBbna6GLPLK77KXLPfCQkb9witaJXMTi2bcJ5zPv1UK+XaCnp
aWaiLvcLVMeE4QBnwvEg5pELPH8SUaVey8SPz2VbvI5G27NIbKrbJPik8ab8yozKS3ECVNYpbd03
wfhhDensnxOLa3NjGUV2sGDAbh2nfHNif2B26Ct28S4X5VoSTSknCnx0t4+1o24VC4LbsBvd236O
zUeZteq1d736DUQnV6tPy9VYcf1mw827yqHPf5uCdQFg5NRdgRzr94TSBJ6RPRvUaGGx/fpyQcpN
0Nat8TDNSnbbifD0a+xo7Qujz+JhrllwbnCdlcx8TZjaZV5F3iiyY1dbPtTleMoOMKERBxD7zGmq
it5fl1j6u5mBNYaP7kPJs2x903lgrK2XoAjNwnsdajl2P7Kmd14z+JNFchzsRTrwpBZD7iAKjf31
rMfYPY+J3TsPEKhhETvT/GSCQI/IdE7lxnQn+Eh68fZchy4jE5SBbB+mjkdTL2/6mj0BHNTw7BjF
XSda474W5YPh9jdOpao9pEz3fqFp2rg+s9/GTZghxzcMTFg7YWY6JtaSniqreGqRWu1Ibet3vTN/
ZAEbSWfofxapVZ0MmfxAopCe0gXjqzR7damJiduV7jAxWk26nyZ03V2StVdTp+M9WDXzPC1FuDWZ
+0el7ybQGpLsxllYwDFTHeaooUPy8uBsFEpvs1LLZaPCWJ+QCIBjMybmYSJxN1VWYL6qyvIzUcSO
YzJcZ/etM0ehIx9m6Wc7qzLCq5ysgmu8iCN8Tm5YANfmVTYD5OvDIEFww4m0zEGcBCP8Y+XT1ajO
Dnb1aJD2bZP5Psg10EFAZLKMSlyNbhYe+8T8ZldxSCvltxdThna5szj2P1o1jl7kor8H0USsKgHa
ZTccARejxDBHFrYx85iWSZ20RA+sKjSZsIYeY+R4zeSO2x92PfaHxE145/ECD/Zwc4dNakGwyqWn
H9AqmgB8i3YPniYlKq4w6DuC6S1A0rMhMHy6ktMKUiyL4hUmY+1H3uTNB5aFzJl8j7YOwQUYjcGx
qRBtTK8ok/ZO79r+CUOVJbYzDxHQ74Wy2o3ivrp2ylZdsVeF8m8J6wQcot3aacpd1e5orPRG4izZ
ME12z8prpqdltEnKW0ntuG2PY7m1B6NmEOwt76oU7gng8fKoclUDH2/D47S44anq4/kuK+xlO8S9
PheVciLPKmFbesWwKcekYDFmO/d+i5eujle8QtLAfRYq2GtjwEy6rqxH1yYHObTz776XAAUX80j4
7QyDNhyMPZm1NWO56r40Dd7ltBunLLMZaoOI2iZGEj6TKWIeyowr3rPr9BQME1F+Y+xc11icWJ6M
xgNig+DG1Mt8XkWiJVvykFQH7TXVLyfRN3AW/Us4AfiLnHFk5FsCyGH9lhbXql3Mk8JWqklW9pqr
cont1z73Z2fjuyMcMmskhjKd2epFuZmLXwpuakmss/SmrcjFcFq0DiNVGc2hN0v3dSz7jIV5keUX
p0vaH5Wde6ygW2fAamxKwjtfIZ8KMrKKFmBwLRnMGZMs9n7qDh91btZRV45rXaD0PYDRcguVUNa7
gAjTK3J6AZTBYc4JhLeq9AQosLmEuq2dqCF6kQDp2s3AMRM+HeVZ7d7OVpwdl1SqD0vRG7NjnIv1
3ND4rSVSntu8h1aVQu628hJaLNMDqbqfAUtEhSkUr8BeFC0vHDBn8yeGAcYNsxE/KDap3APILy5+
LFS8Tdy13UyziiWNcm8XYPsPRq0UXzez031PHiJAZSyvUUWRl5KnPamPSfXYeFOoEiDOeTvDfyP1
9av40pllPoLGbn8q4oqCreUSb78xq9U2M82ztaMM9b5NZDi2gMa1BuM/OMU2T63yhE5LXko490dH
tGhR6pGHcZMn+aZSrE22qdvycg+r2niQSdg/Z5ad3CYVlYZ0PXWTLF9/Rai/2wTNZptY6/WhjLDh
syMpiaW6T3kSam3e8RiUP23lIfc30LPx1kbj4yU8iDZVw5+zEvYPqWn0z2nGUGNjaiOQzNib+ZBU
3nwlBnQkaT+M22Sl39YUW6+MnKuondfyF0zqq99NJeELfAUcLBBmqmn+hKiYHaYlrpHFZCEDzxEN
xuzGgmW5sktiwkL9NzI4HES/NRGolAOaRpoZe3Un89//TTHs9gYSgRkK5wRiOCJ/VeU7XYXzvkY2
sFUZ6K8wtf1P1G/DEbVbsjdM6x0K4AsJEDZuZl5Thjsm215V9fXQWM7roMC3Z4tdXAlR2W8WMKEJ
VqmSwxWk9IDRp1lsycJc9hmDw0PFKTwmIZE+wkxBE08VdUJZhRde3IyNJ3u+ApAwIkkHEFavZ9Zy
euNhSFD2GEwqEDklgug26TgkfLdc256D7Loda2TQPRcOky1qJZoU6sGk4H9a0OLLTYO2hmX5WiNN
ctH3EjAY5xKY89YhBeY7WepkhRJR/s1hBruzpljdFDAcLnnPOHtA9gR8OR2eV1ElGD/XKt8aG83W
uSsXnzDTeEw4SBkLeWNqu2nnJkUqol7ZcQkl3M57FPbERxmts+ULSeu5jokFarUNkN73ljI5EUqb
beNl/RcxhVS8FS12hyjOIAoNgFcC6woLbQuj2p4UT0FqqUakuWRXnPKNExkSB83FT9LORAnlo14i
w5HiijZGHOl6uLQDp30RAO4jRplu1LqIbqIqZLQ5NRTMQeqojznvi32TddmhH3iriWJcjoROUcil
0uufu6x88xvqdgRF6jUYSzvbNvOqc1iPXbgCs8/Lspqc3NR4gB5un0xu2PvCHrJDDDBIRkRNl6eO
Lff7hOrn3ZlN3slWaVkbOXE+7S5o7ugAgsusBREBI82WV8r2RaJKeiHZ1T6JqavfurWmlmlYRin6
hjFylnJiu1OO/d5ckupE3gfVovTtDe8s/76ym/5ZmEjJmIXW727bMGd2qGyVSdeybeTCndfVZvti
5TTyWpfqhjUJwO/Ymer3LpY4/oKOijR2HLDNtbtwj7Ssls3NZPIfO7HoH7WcOCrVgniLqnzjZs5y
xKitz1pppiEW6rjNFK6PrrQiNsidfRrvytLfYW0FF3OkvSWSKrwkpmrO2ezLi5dw4DC1zgcpLDeq
Azk847WlrRrn7BCsnTdWWHVTFfTlfkZ7gut1+WTbkyy7LFjUa+FVd8Pkqw/2PrQ5wk1whjiIusYU
C7TDh0pjLVjWv3pyVg1NAKGkiWqMpZfZHlH8r7fqRCfLi6QYt2yN1ZurJ4LtmioHGi8Iv+uHjI50
bRqySdA4pZOj74VsODN1zivg6xmoZCLJQkysmVxoRpprsUE/bbODYqDFtyv9+WpJGNVOA1ONr8uQ
oTUP8ERqcZx6g8CPhE7Tbmd9/9VpS5vLB9hpGXlklaDLovsgniQ7lg4vshIj7aWPCRf+asuMxOAw
wP3yIwY9HPp1gLJkZDUVaKajMU0/mwCN0cLtJqNpTngJjGtIXJAwNRBqKh60ciZyxhkPr6FeLqgk
dka6J8eEBBVOcTKKEjke3whjuEXzvHAL4tpn9BGj76SlFoi9ehawpB3TRjIwGXeSVLIomSqXvBqC
mnjRiIaBA65dTIVMYoiJ0d8X22FA4Xaj/kEoJ5JI0c1PEo/LJraa8mSsTS0yKh5rdFJspNYOeV1N
boKW0LBILhmfVFk02XrhEWeb/PqvvtlHjnE9FczMZJ06CMqMX0Isa5niG5y+suIlpVsIHv+8NJEy
7JVDSy5rM34QZikvqraKrXad4MJ6WX+vTWYXrB2ZZcCHkpcRZuHt4FDhMtXveLgbVvsTKGr9NiVN
sG2EDi+jz3O2HlMOYeoiDRek1QGPL3oTIGtFC+1RFnXsNi7r9ayb9TEMGbNFr1wyCQozn1qjaPjx
sNPzVYYR6zFdp42jZglEilOu3syAS8JZ+vZnr1mApGac3PoIfxFdrtcPERlkXjD/KT2+TrxOHb7K
iiBkMkWmSPFQjQPdO3KwrQdv5PHr3WB2jN7Y+qe3Po98+n2GV4PhOrd+Yri8KsYwuOiQI6znwnpE
dzxEYcXywEPmfXJoQ6LUy81H5dlwXnpOZMhg7jSXQl5IM5QX16J4qNZzkFIvvbZQddS+WWqKotHk
aYZe53keKU9UwVxE1KX1iISahy3Pse91G6hXfEmsx3CwRl+jmKFjWBQQJHROZDqyJWKQ0fI0URHl
ZbFfBed7XU/IXjuKzIobm/QCm+lTXXJTzGKo38gRZzA4Mquzs5gSraNgsT0NOJSh3o6XPRfP12N2
8jkadOzoa2sneaGbmtFsWdVaxyE1Pk+NjXqUZvlJ+VRLxjLSKg7twMEUPN7SgfuoQAr0IrxBUVvb
XGuGiB+mkTmFVU5VdpKOq8+jKhnerI9KiKDWrins4nYJyKkovcxl2oBs0tYh74eUVpV7smEqCPVv
VReZ5qOt/f6Xv2pGO/50lI0FN24WUvyxtVMfhBJRcuh2KU+55CbLVJbeIvh9GwaXo4axwD5ZQcqt
MhQcg64UVKHDqL9TleTOpp9Ysm3IpAipW3o3u2Gfx0N2ZJn/XNexHYXzMG+HnhM+BwAaC4tR5tc/
ft2Yc5XzijHQ2v1wR96pePyck1y66Y78w3lfpXmGrKDmhs4cfU58l4cMZtbk1lE+Hv7FzZZr5S1U
wqM/E0VafPbOUnsoHGgcvgZ0q4TLIUvxYVyrgHnSlMKIQ/sDDRzfeEQon5NgEDiv6DXS7bJOwDsa
2V3vsubaFGhhzl3c/R1Ix1yr0T+vEkzcLD60X1jPJGD/xcDT13Zdscrqjk7GcDgCx+/e+l5n7ZKO
eLXZ4dGWhhTfXcIi009AEOetS/IOxUESS3oXaetzaw/zlRyV/t73jnNLTOL0xCNh2f/nAf1v/vmV
brHmEmAEglT4W7QwTubCHwy7PRrZqnRtWdTPil5MmHl6a/Q0JkwrKETNgaaI9DxKK0YZq9iyfs8V
o9Wvk/2f/6gv28+fj6Dtwh2BdRKw2/mNr5KQo2GFWdIeq8pGcAa/aw2J6PVlGY3h0DR9uqV7X3Yz
pmsKnZ4hW644u366dnLQDx/ykYsKvDhPg9itf6qs9O8DLyH9oyOZNDaaWm905/4tqfD3TsUk53w9
+/hG0KP9xVSFNquok8Tojolh6XMMVmOd3FM96lw3RCWumwhbB9uBZ+JbO/MWkaOkL+w794/dy/+s
Kv9mVWnDTeaW/P+vKr8R85T+r+07msH3f19X/vGDf6wrQ+8fOPDwqNJyui7XIJ/5x7oSA+A/BJR9
m2kOAD5Ihf/aVzruP/Bxr/sue82MWPMi2vXX/Z//7Vj/cKBqEY2x8omIqvf+O+tKwqr//JRhT4nn
UghQfHAABBTsP/fEoWhlF8fauMJcN9wHrlPtFocQp6pcip2/0r4FMvsH7oHhENTOsmNYH54wAqfb
pKjHx5l65MpuyYsxdRcci0wMLkDNXKLMNXNmgzLdFV3ykCj7iGJ9oH9oUEc78nnsi7vRcjoGYEmA
pNdCzkhKdBS3DsVlJWkiUDuyKHBK61snuUOVsvxosZPqxoF6+ShtcoZav3O2M4XDT2H0mzmwn/I6
/7RVpzdkj96jgese8tpzD3p08QzQilYPjOT7/2LvvHorN9I0/ItokFUsBmCxFzxRR1ndrQ43hOx2
M+dU5K/fh6c9uy3JK8FzPRigpw1bYqrw1fu94VTVXnM5u/GIOrEpSJySS7JN6VJczZPjXhTUo7s0
XXpoc2CyfTdI3O2rxdlGvM6b1sHXOJhsOLij1nVBhHMj42A2y/m4mK1JtWxDFlaNujJb75jn4qE2
LWzret+6LjLrku22oPjwQRw91vQMyUjQNF6478262DBgQMwgJZAFn03QZwk/Ikhuw8cqLpfeBm1T
hnsq0pQjchXCG6HXsdci0iXgmeR0qzod7UhX/wDy02ynOX70Z0t8mgrlXGjbHb+WFnllcdf4W3OW
VXhTt7MwidCm6wJdFUqMeUm8pVw+lK2kDt0lU+UZf2S5ttwFQcNgIAJwurQNhrLqoKkqKE0kD0JZ
QQSSzg+NLL0bP/Ih8kxeQwoIpV8zHQrRtUfhKn1wi7IsgwRp+a0uyv7BcHsY/zN9nrinM8vOFfRR
oq7crDWBLjWRdEaGiiZAfAbJOR3s7MaYEzJEt0ahdbQcqrpd2va6SvPEiMkPpDfoKgKsxs4F4RxB
PsqTG5a9037liKAe2oV05SzwYZNgQhigUW3T6T7ss+JQNpXnRrcSjHCc9iQfmsNysJe67R84v4rZ
+TSZQ2d+MMbZ8SJwYthkUNDWqHCxN1E464QbcICw9TUUpLlu9gh9ymFj5ab1ufJqfT9p+LGQF1GS
7EVipaQQGuQlYBxEhoIxdJ2/SzD7fySgbw3VWlyC4Hqn0NeZRbc+KP2GhMyoWbbg6+FDmcdGvWEl
aVBCZHX8SB53VtwY6SysTVHP5u0yTs64zxHUETXdxBWbcV+WJ9iT8bEqc5xYFiifm8kb5g8omtwo
kEarP2cwp+kkNI781sS22CLTim7pxDa3Dp0EaPY1geCxhXyHGzCvkSuoXRE1JmhMvhzxaq/vnK4t
H33NkTlwG+hlgT2nKxTqQ7rBLAAHRs8JL7zaNWAWIUwh/arXamsZVr8EplW6fHIsmIJUyX6mhIjB
Ts2ufxhGt7wj/SA6uI1NNN+obv2UdOMwr/UlJTHuS40RLV/Pq/x/NsR3NkSCktYa9P/fEK+TP3DD
fSp/3Qz/+qF/eZSweWFEyalC4DbLhkdd89dm6Ju/2ZARfGWjqsa63YGC8pdHie39hlss7A/kKHDs
z1L2f+2G1m9kXq9qVhu7KATo6p/shi+9l+GTWlKy3bIpI843X/pYwPajo5h3rM6c8Hs0LqjY9LFV
K3gHuQyTviqeSURMM8uYPiUax3xQ3RjGcefX6slNkMBYtLrwkyasPnUWwioIYbDTy0iskkaw9owN
rewgqvzypu9+FrW/WjSth4FfSl2kG9ywx6s1PZyDKMOfb+NeNyApY/W7BO3UD1ZcGhs1gRbMo2ty
4prDPHj7gtJ7ISdenQUoG1ybqsZbnRNWZtIvaLqR5Cy9QxVd4qtwBYGTXNh8pM444ObK/A+yxmiO
VmvSQMFOuNGbwR5d++g7wxjuVUSS5gXaecCtZSTtgzjxkCVW9I6+88qEJneFA8tdvAIZuWAhONhh
WV2m3ZpCEsFuHQMrC1snaFoEvxtFwhaH96nkXRvOqB9QoNFysRb11Jd11SFD8biUH4djtGvdMC22
kwph4xJy3XkbVqiu2RTs8sMeX8AZVSUUmRYeC3GRMldEx0N6mHFoJgKlJ8u59aqMgOkomaMdqOYU
7az1zs3Yzumgx5H4aIHbIV90O56NHMnmqxGTIh85E7ehReLpnVSi/irGieBDBz57fKvjgjvCOUVe
zKgg9acWzhW2oI3BoUmksdVhfUUleYNhrGugmpud+osAJYlPfdsx/iJo2BuD3XV8WNoSJETmQn+u
z7JeKXreXNJhLkJXtdLVRVvDP9qMxE4tZE3S6gjyeuTf1gMKwB2p6zCI9NKArhvkEMYrKt05QUXW
NM0vmsIJBVGpntIpCh+H2fEfxwHdEZAP6pxtgx8+Fp38arNreEmIS/kKjt333ZcY2k19tBfIzzve
oxw2Klm5pwnKWGg0irPVh3mp+KzjGsl1iUVfHp+W9ZO468vxSQjl+xGweek3xmzR0e8NKkO26usY
Ue294Zl0scnOQvJFy8kDz04seMvIPIC34EuQJOu4k7utRpHvIItE2xyx29os1fNHztj9jYGMyN0U
KZHPgAgDbI+0V9fzHDmPxuhaN9NY53fkeEdPYgI4Q9Rre5tElO5TGWXj51qimgGJZ8jGE+fzEeGE
t4lTnN03RU4G+EloR9EoQRjxaCD87O8FJgTOVo0uw4aoTV7vlBROe4v0ReH5piKjxKNwaCQOMLPt
xYvcpoxIdGOF5ttRCNnTjzmdh/orfy3SH5gK6IekMEEGHXzSNlXEGOkApoZNXPnWR4hvfJ48Q+YY
GOHEt6XbkVP/u1X9lTfD5IJhzaTM6moK952JavMLamX9AFeQiWAsLi84ESiCDhkAz6WC3lEHoabC
i8aUZkYaCn1HJF6DOHqZ9ZUsB169Ww1cBX1FupBm0Bn+Du4i78X1167jQEr5Jfxj0X7MlsUwHo3B
XZqrXrRGezdrGuf7fJYsv0sxzf6nxDaL7CEcU7p69LCbDa4j8mKBgj4Gy1zwLluIVQmE/Qk81vcj
XkRN+/IY5h5EQptVhTDoBu7j5jyQM23w4Soa/+3WGddJ0bcgeoGe6GWxmFfiYzIY0MLWI5DzRefe
IG7TEDwAlNzKqj9cOVnojb0UYdYqREB1HaWaxPaoTb+1VkunLCC6vP8uQ6/PPresEFYM72dR7W1F
Sex4gY6M0N+5OfnuO5HhbRnQ0kxPKOr55n3eWjcpQi792RvCJvtTuaUQDTVVExG+jnWHuC3Yf5YG
uI1m10VYCrQWBHw4pnkRC7m0AcfABeI/vtrwzBaA1yTybkrMXb6ocQjXYPgPLgbt0wbF/PAJpqDB
Ga6LIUTX3UYOUXwhcz+EBEiaa1AkOF9a0prVNnYLdTQ6yNXwCdPGSD5HsT10e7tWTpnS2Z3RaecI
KOvaMx87tIYbWZjfjHKEeI4EPcjmkij1eNLekRTl6Pe8C90/dSRDeEBteUtq6BXeFc3MyabV90Rw
Rt+UHMtdwSa1hYogH9DalN8sOy72ojSjkGSXAqUI8oI7P0KE6dZZI1GOZ/l1Ukf5J5F2bsAhuEfh
0ZNvyWFug6YObVQx1bdjvhRXCmbSbqDFcs+yXn9L/SH+MNr53eSaOj20DZm+zUz0qplW5WFEW/Uh
6pyck5bdRfuWEvuKnBkLUWOzoOzysz2AAOYPRFqtHRiXZW+U1Uc2nfpLqYo63qZLV+69xKw+x1B5
ebVErwZEdQ7lBqG0vqkd2CVRMhYkj7vdj6RFO5GD7h3FGtIx0Uq8IQbdtbcxckLCo2fKge0qurls
uqI6eHkzE8WXy+pizWffR8q6T8OqPpj4K26Jkq2/0EmoJ3ap0bkoIceNu7lwh5umt8MPfh07B6Nb
sr1CPLUhE27xMHd0nBsDOc4lC/Z8xNV4vpgMy8ehNJtQ+rfEotP33TTDnNIo6pyPYzIu300zTy8x
TFku27L18+3bFcoL/JT6ZPWRwdwF2jLZIi9LorlA2uq3vX2ihcQe5tLYSVj8Q9a5Uq8iAxtertwY
xcjfTSNlkr59Ayt08rwmIx+D/1mr7w44znqDvxRITVVIL81pNOi+bo9ZCefPnCS7oG0A2EG9qS6R
67fvXPUFIZzHdhFLoc5cidouyv3nV7XDJXbjSfmnBvD+K5xMVqa6FxQ5bz8dENSrp1vdlqjXebuE
cDy/Dg5AztD5UXiys7XEcc2WTWPt/yodsmL984u5oFS8TnIx/JeGaBaLiBFRhZ68fPJ31dqnW/3m
NkYy+Lu3L/W6koa8TwuZw4CJ/PWlS1+DxUFt6DXNGendTbn2fxTWyrAH+uqyW71///H1APEwzyN0
3YGs/sKcibwZ1o28UKdFx+Hjzz0Q+xa2LFV2lENdQjztO6/z9RjxFNG+OBHhfyQweXv+7arSbkyd
Q98YhmTNpKWDo63pvRCuv72KC1xB6tMqT3gx/vNQTGWILd0JPS8huwldOdd716D4767CgdIjuM9H
+PFyljm9FI0yeBZYZN7WSWhl0mn9N74SmBu+SSCg3qq3eP7GsqZo6Hthpi1C+sbID/km44zSYTeH
vXXT13pc3jnSvV4+WNOZzDwWsSJc9vklEZGH85Q79smoQueLRY/1tJgjpciADf6upLUtAqdbWLze
HpCvJzbus76E2m6S7vNqQBJqlmD3oAT0fiZXWLFM9Q56uiWFTPD2pf7mERkcQNnU4Lguv1yrXKi7
XKoQNELX1lthVZdL18MDtxkw2XqC0+uoefuif/d82Dh6hI4o53Uw4gg9Q8a+Y51yp2mPZWHLi9z0
4gMHnXcn2kvrNVZjH3RC2bbt+q73eqbFXuuZTOfT0nb0TlOrUGBceLw84ObS3gBVQrsOZ8pkPVHX
TdRa3c3YQBHd27ClOFxU6gnGSPcdS3dJ1bkA9N15mVO/l8H1et2DPyVdAStDOAA06zz7ZbcqEzUl
8CIZ4YXkQklIt32VUHYBMlKGWupT1r/9JazXc3fNT6OulD6tDu+lwWSUg5eEbDEnwzOodbUnOT+Q
Mw59s7XYsRCpruM9TaybZsibr3ScF2srE18/NJ1o8kMTDctqzwF5o4dIFW/fvsG/eyeslOfEa77d
S19BE7sQlKTM+mLxKLpNlX6zIkOeiNAsE1rY5nswzquxSVdnnQ1AOQxR2OfPP0KDJQdF/7yc0Cva
Tx1ktTSYm5JhqmtO428/3d9dDNxImgA0LDUvdwFvwfY3avz5pEn2uUtL5AWQ7jjlKLPmlPT2xV59
ap7MW9NTTOR3LGcvypIiM6y6C8355ISKg2WU4POHaUXMKfHtC4kXvVPhOSyX696teDgHXOz5O8xl
nGindic28Dbu7kzOcMPG8LqecBhMH7rLOh1BQuwIvk48xYXmROJKOi35ug1WjX6IkwycwJg4LG06
Cw7Z4rbt0TQcoCxQL7k3iVDleN6gBz9MIprv+hIud/FPF+JzwCAenuxr+Pa9rEToGgCJY0FwEgtS
rYnc50tIa8khMud/XPRwKcaATYo2kN6r5DEoBKIfNUye1nQk7JiU5yeXy9/R5aou8Yx5Fz9cd69f
imObbQ0LQqY+Qk2FkvPFVyqXQlpNq+yT02j7T7LmxlNrh/7jGRBx3A5Up1lynDG0Fu9sAOLlELG5
MibuDn0wU6BtUPL5ELHzsE9wmsGpC1FNscCD9xzipGY4FlIgqwu93+HtZvZ2rDqro4tVMQNlGyVH
0c9Q+HC7mR/MoQBFXLIVr2kIOqeuH1r+fibEtAW9MQj1VnLn9rNR8pumRB19I8pSgEtPVvcq7ZZH
7HzZ7gw2g8Pct1Z9GnEh6QKIRPpOTRporAszcL8M4CgMkmaMVgd8MpWulWlk7RZriOJ+Am2gI9kb
+M8kzh3xtAbNMLfEh3XskbqYLgqMK2Bps9x0rhp83FLa+qrPUKTjqk3K17Yi5IED9JKcoLBaG/ht
aoB9auEqVgZDk6ge7NscUT3JJS0r5gyJyQsMXyu3vk+4iwCKG9BdsaCpVzAUvUF8N86av7s4YlQX
TgVEeUAnRdAL0ZkcSspm4d8ueE79LD4xSwB58fO1rmlq5lpc5grtZdmhMcmwv+DgPrfazy6IX9cP
tV6K+I4Uq7y6yqJm7O872fFBRE3I+66yijp7qBaT/aIdeqvZW6ajHzJTeFeR41TZg1tb3XfdmTwF
yhK1/CmdcrCv28Zaoagp5zPD5OQHeXT1pKBXLB9qC3/VXSZS+2pctRMgGkhcCG/uM713aujGW3AQ
kKt+iQHCvWLGqWuUIb8Rk+rQ+h0RS3nR6HQwPugq4dJNtrBr+WaJPXkQ5zTSb8tpVP2DRQsTNziG
S3zHcRFCqjW7KBpwF7AvxrHFKRK2x2hslrqEEeqINb5siRhBJWYfTiDcKXGvbOy+posYDifWfNoa
k5uqzcG0PBr7y0ETFSECQYxKexsNpm4/WqVqc2i1igFG6IYjboykZW841wFg9ow++KlADbFTgZtB
YYGxHgKEeA1oW6V/+P0S3sE+13c/ITiVD9yMjFHB2qlQT0kYx+GuG7qpPv6cVo5gbTFXEtnkIrF9
KnHiaAHnyVi2tBUnR9BesHnR2yzjraMYRY3ncDCKc8V7Fd2Kmcu0G36fEzSle52Aw/9szeDk/RQq
uRYSkU1t51Wu/VRY6YrEtsDzQU3e4hGmOAj8eftznQGQMQa7cq8U9IElyMxEp5iMZGZ3WaDVXA5F
bdBpyGebF2uj75b71BdRct+VDTdimWAn+zoX3UO5WI3+hqerNNAauSrLHryKYNVrpXM0wVAk7M2A
unf+0zPoZOxSrxH2/WzVoMDxTG0smX+TW7Af0wbAwyYGLWCs2HRzMmZwL93PFOaQKwJF67qWQY6j
BMKtMFwKsHkjV1gJtR1o/ZwDSkLzLBcPRCC1sUQxTQ3UBkLeewBkyzCm088d/z990vf6pHQv2VDe
6JM+dd3TH/GA01TfPWuW/vzJv5qljv8bIATO5MA5gEgYwf9vs9SVvyk2Yhp9a3WKZSo10L+apeJs
Z0DJ6rKtErfGxvt/zVIBeELJDSMOGi3OCf/9X89CYLoX//xrx/FF9civtrASdmnHcjTl7l4UdL6c
HdSURn30kvxHjFblYHgVW5RnvhdB9HdXWgEmaiAQOUiGz3frvLRLe9VbHD2xkLFk1t/qdQeawnj4
OWSfPeN7z7QSqyQOE+She+ud/HIGinojXNoaS89+ygY8VMzbbizSwGmWx18++N3rdu3fPBLnHcEJ
lMuZXOv5hUY3R3sD/eQ4Q0jN8uxHaCQ/Uv7/37kMdTA1nfPaNaFHs9/FStcwFYHNfA9XgjNslunk
33h1jFWQOdcnuOBVsmtET8WuYp5oxCj0SmPqip0mm21bpu88lMO7+bVyZOCx8aznVEAKzmYv3p07
4sPb++wf8YS5kjPMD3OkHy1jfqxHYIq33+DLMvV8MUpFEh84FUNNeP6h8GarmJsVm9WKLrlwoY+s
02FQGcmT6SFzS+xWBhYg0D8fiutBBjOTcx7Vy+nltBVyLmSPRwip1YdhLX6Ub2SPRsrf3n7G9YW9
eqEQZVkVVozVfXHoXIZ0YOss6qMxAIhgpTrvUmGGH96+yt8NeSxW/vcq67Htl7m1WrOMBm4AR8PX
Cj8j/UiLpTyV7b/36n650ov1YiKrosJJgwGSD/PW0enTQnuWjsd708ta38yzN3dmTzrwrQCSUDiv
o+eXZ4oGrBKAabJjTy4tZnxdRZWFZ/ok7S8NVm9HBIeoppF07hVeVpuo7U/vvNVzzMmze8BQnsWY
wen6tniVVg35T3lFVRfHehTVtjZHGHJzDT9+sYt552MZsrX81to3gKdHs9UVJEfpowewyxOeLphr
Tmh4dp6OKK8wEfjjLIF105A+u2ta+8HNfsxwVC+ixRqvaxcrXtxh1wrTh/xcwWrcz3FY7JDKCapc
qY5QIYv7ufXF58wV1YUK0/DbWEDyp1GtjuHaeqzm0j9MKVMqc7UTbbp5wJwDNjiU5gZ9Rt/H5W7I
8nJHtFj5oTdS+2T6y/RHE7LRQLXg3h2Lq6R2dYkF8JhuYteLq91s5+bvaRYbmNNxPwahV09FyENn
2MHuKz+qbzEhqLa9wukGbWAYchwjwUUHDdTMgxOiLmlMlPxpgxrYwDJ/U5g83VKwdmL93G/Q9grM
X1jfYmgoO8dhF8Lk3doTSVhhuupb8mQXdA2IC68uLRMLTg/w+OD5mMS7uSnoiY7qUkdW+i3yqvzR
mVBlNp2svzZOIT6HPHsduJNVf60LG4DBwVg6D2K39vuNlDPLjXZsilcDIu1jN3nqEuFKcc/BoP8W
8mou47Spb50h/WFafNMhdcTnwkt+6G4KP/QOZzGoi9x911WXc77qo1skGwxfn/LyLqV8foA5YV+w
qfR00+G9jFEuAyqRBB2HGEo8uohw4LSLx0Ikax+Twqj84WDJdoMTNi9xyAmkFcaE0vg88/Iuwovb
DMFbHF4ZHGEec4jTzWLjq1k0dfQRMIpHitwk++YvGIwVzYQNsIo5UeF1UC30pFsnPyQ4HNTXFtpM
f8uBavwShzX8AWGNFPkY13P8dlDdXRlY0n32jFJ9RJle/BAuFuY847wrcYwIoE82RxsTxMdK4Fsi
8RBONwqVS7JpbTXCCI3jsdoPGmFuqymssXriE/ShzvDQJq+hCjjHGxijQnrpmpZpZ2Phh+Euu+wy
+x6KoXocApVPEDH70ojGw+CV6ZM/CWPvl8wjx63wI0p8HJC7MdRoT/zxy9Iu2UHVQ0+8tNGKZJ/W
Ui27BeOhJmg7fD4DWBOcIv26+y4W5pZtYFqwzSfVfRoJAfoapVjguTNNxQIxqQpaJM8njLQSDAwm
bK5hvtgnFUfZtyYS5UmHUYkIuRMbfEl/IOLx8RwiKIAb4bgQFfPWmNceVIz1yk2U+RhcRLl/SA2+
0CDZfTFIRYAKxr1VBCp8SMcWW/C41vGfZe2rY5k5aFKdGKtP2xq+1N08Hjix4xrnDwyEBQPmE+yZ
Hx0WSrCcevwTrByQIPqzH1p3G3f6A+xYrFFGQhfm5FSUDlLLEJtWdmP3Ph6YlBhl6J1p5eP12Lf+
LsqY57bXA9LUbvbZw7nw0vT1Hs/qHOWTrvtNMdGxDDA4SKBj5wxqVkWYZjmGOOWQ+reSuhaLAWZ9
NuRIk8iSCIAW5t3SsrphRzserHXrr22eWxTpU9IZ3q03pSD1uvPu5UhHqMLo5yMnLXnSAyMqY0H9
NvhrCzifq+1IXPlOdQvTqMBv9bYvh+mPzmjxGY061pzYzrx7y2mhdZj5E3bdyARb1g8nNtz7JcEx
T5CpsA1drP4DJQfvPqyyFgXtwEp2LvbwbG7w7S4GSEIpi5gYqq1De2HbIm49JnQzsSixpj9i8qDr
Mi+DyO9MRjAmTW2S38q6r/bxJD0+QlHfds1a2leiusytmsE0NfGAy6FlE1LN20lCHz2eg1jxvOoC
Un7tM8/605xYrcZ1jCiAmJsM2O0mVTraj+SBscZRzASG0aubNFL7Dh3mZqxasVFQ8Q8NHLXNuDgV
PEve0AJxG/dpt92w4U6bgS+coioDl43YDT6ONVwPz4HPHC5Dcd8NrD1GxOox+Uz6bCQ6a/SrYQ/S
06CmBQiRoTB/962hv0SumG+Qcd16WZcfO8ccDykEqQPnfeO6b5NbSWzSFwgC3e2s4/46TJfPiSkn
rHfAZb25SmCGW+q4ECODJLspbmujDe/y7KvbwITDPOJHFYXRBpvkT8znx3Y0sWT2KsxXowIfblOS
yD7j38K2SPaLY/9uqIo8BZdNLyMD9cJIYiI+SlbetmTFMQsPsyXTwnF04ZPWPxdZx+5IZuUb7Dn+
YX3tQF9j3y4345zr4UgUrd0eEIwHAjnzFPSdn2I+necsZinnTNiPWHij4ojMbI3CMqGcYASGGWpb
tAQ8NNCG8lomBSYOOI9iLTM1RUDv7lNXiOI0NZKgJRj8NRptrFZk3g3bwSIKN0dKqivXuZwnoYuF
zSdvWf8KaOgPDb3GCZF9GhsHG0JLfIKzunJnoWeM3gniDSz10BmgBWw4DpA7Gix+6/7o5jT2Am/M
ij9hFmFLkkTuhfaA9HCF9ttV7ahMRLuadX32XFItNz00sLvSgdXepvbgg6t6UUp2a9zaSKkGa8Sx
wuq+AfRkuCHp/MOUSo0XmuXQgqG+h7JTu/N4KvM02ya1+bvtDUQhpJifzBJFtCIJVDjMLxaO8V6p
1LgmtsPASMulw2DYYj4wT4UMqhSniyH3+qNohh5defiUxQqtDaDuTqwGVhUk+S+4GesbRAAESaAS
NrcAhIOx8XO53DBdoz+i3MWtBmjYAFvC/TbNDeMi0cr09m5UsL7ZDsu3HVGdcGCzJ7Qq5ENvax74
mA0rDdGb1XvpTfJVkb8WxAQAKmd1aHx1Cqx1QiIO0RDHuCjs0zB2xY9KNrzBqZ86nMuJkdC7HG9Y
Qk1Tq78ZHSoLK4ux47IoqzD8emLjKk+eoPc7C446XbI2vvJ5UJc2SOVV2aYtGmjEET321XQLEeYd
o5A5KDUnpZ3tFuEHSb/hSTorB9Dnj4NnWO49RCaW23DW+aOZJOm38xpYlrAkNtOyqo/ersxfh6sS
monAxDTp3ohVFPb8cNAtSwRtxcyPKF1Ze8U0XvegrG7gtdRMPWX2DTxGTNwFcB3ZJ9AeWfzUZS8L
XIYs/71z84tmO8G93A+AzUrZXrGHl+fmiEYVHbP82BbW42CiSc7YXyaX2NF8eAhhHO/ffgOvDuoM
BpOTOsqxlQH1kv+BY5AqIqTJGIZTkJbhELJZU5qUZVxdGvZcXbx9vdeJ8+sFXSK2YPBI+aqLVbYU
e7aT5SyuuAbDs2fPSzq4xtuUgUUUG9g9+T23iPWmu/MWTPgXOH0sQEfxbTM2YQbXu1qa8aA7apy3
7+/VOZs2N8HlOOUxQ3gvL06L/exMDrngINqctw/KiKpLKLvvzcFXiMXaTIeT5Uiaea57ZiT8ciYd
Euj1TlklR8emcnUiVo2ydkieQFMaBU5W0UVJqdyxcBi/vP2A4vV5mPoAzS06Dugj9PieD3li+Oyx
zaf4aHeQwvGgwFzJCEP/WzFQl+KRr+ZbH2b1I/lej5k/N+QEqGnXz6OKNj0dBajxUdv29GIHTyJ0
rqnl7Kw9UvziZgLB83sTrmbvBiy+6Cfi8h+8+j28WrJQ//KhX3ny0hNC6Lp5akkhKJ+eAdY/f/Qv
wBpnXntVpiIHAX0RZz3rX+oez/4N5JZmvGnZK2QnGbV/AdbS+Q3gBFYfTCMp+DEGzV+ANeHE/Kdo
f9jblYk26B9Z87qvoBIwbyEB1KDbgVhTNDwfnm4GMEGeT4rNhccZ2/Ix5NkuXcQJR4wtx4h+xDs1
gDUXQ5sWM6VXKbA8QHvfQb4VE/LUvVx0ke0qVUXN0cgra2qDGqUEsR2x7L4XCcYtGB7Y2N6tpwCV
A2bYA52hWaAByWva62NicZqc2LGRCObrYXfBJANpSvW1XA0ravJy2t2YsvUFU4kLjRUTWIeXjHVT
ACKUm6qkhRkMwKv1QWDi0uIRYqw/cu40Zmky34mm9x8HSF4oXOqV+IrkXj+QKO8/Fomlf1oThdna
VJa1dun/CeIPTxXke+9E67773nkIB/LVSTI4y4ms8kydJzHrjoKSxnS2HmeC2rehcwgRQZCABP7R
tC2EKGs3sqqM4SjHWGLd5+m7UnLu6KRJn9wpOusmEqsiqnYRj/yUJ6DRqPEB8NOuO9T+0n3HIIY3
8JNy3+WoGkIoWoGWLf+ZreGKFZVST3O0lgFDxA0oCxfTYMq5mimR4KRhTLjZIIHBA8fXPLW9Eju8
DKwlx542DCiJqBGGyZQ3DoY56A7c+Ebifnjl0TkNsOfR12mYjBeyou+MLImf+Ukkds4s1wLNgbNl
XPOGf37Q3Ixoy0eciB7FsH7hcUbGxCftui+Uh4ggpno9s2u6yAUmV3mW3BuF4BEqzmkUmWPMn16X
0xymeQoPZ4JijXPHuYc7IfhQG9dAeMQBqVDjsQbtND+3RG/IfV4sRhWM0/IjDlehhTmW/iOWUA/E
man9jBMTIWykjD4uokvvMWv0bdyyGmNTW4X4WNoMQB2jXqhUwUDPtD2E+7mO+E1LKPgTXwTuLV4H
EYcWjsxnMZPbj4wG0WJ6GviyR7l1VjDRlKCdDsF95R9HHYPPANDehqM4w1tY9EFehgBgrnKqeGqY
hK6vzz11suoDz4/AGLO0JoquTH3oNpmfIxsZGaJOYDEtr6rad+zjGak00hHuASG63HeyDMBARQaq
Is3VcKmcCkZMaGF8o7XNJcvFAK4d13Eyw1f4OqyfyJO9vCD9pv7qWR2/rG/M5MA+ixDDhoM4j6O/
q21QuTXE9vE8hBMD8c6cgaNV62RH01p/DR3EZ5MceCVnZtCZW1WA1WDsRo+ZM4LtP6L850WuPVu5
qXOPATO46GfycjXrO08JgPLk4CQzL2/mqA05kYWD2qH5yUVqVE1b1xlAr2wCbugKgPsSrsW5FaUb
2ESOxi0PcNcFkBJecshjNY0BgiIexwTc+6kDa8xVGIhjHgPM4LSyIU6a9xO2iO5GgQnazLFdBPDU
JFoBNnN85vyrhaQoCu8zL7mqLVQ8uQEEtBncLpZ36ZmjYrTdzHqKcmtL1Kl7pG9vQptCkahQWW4l
Vi5tAETF80rdRtN+AQKOdz6TAuSGcG3UO5IVqxCYIj3Mna6voxQ6ajIDpcqZuXw+GXtlBvyH6RW/
hwOPfZFla/IDDlAfTRNX3x40jTdY2Bq+CHqUQBC99DXDi/To49B0IFMDTdmq2KFsRFnkxaC2Hzrq
Kxu7Ldzb5MID62wFFg1f8KHw/rE+huay1KeoQsa+k2WBOK0I8aFJ8a8+DLaATjBOIBN5spL4EijD
O9K+GFM4cTPAoRnxWduOUtOEWY42qbSsj2gjAIzUPM1bjtwSryq8NTPia3oI7yuvfiL5zAkKXLZv
klW+VRQW95MWIB+70V9HjmvhYn6y05ZfL6Kw+45DA2TlWDG6z0Y/69hrE2Wll3Y9tMeBXhD5SuuY
twXK/Y3Z88wbAbdS8jUd62ZIRihZyIV4TnPdRsYJm4d7+gYQXkxwrxxcsve2eSzX8ejPwLB14yFp
kysx+eeShmYzKbYw8hhKZOm0w0XqdQ31OXhpu6uRed/ZDrMLa1DSuoaJ1yuRZp1nXDF69uNUwl3Z
6Ea18f68siIAoGyfcEV+tBJZ4iVBVFr2WZ1Fibm9rlLWCCfUjnv15K+SAbyqinsrHgQqrfJ7GWv/
oq3rdTNoqNbXHD1WYMxeoeAuioUsp34YNh5Cfc7fcVxaWB7N8Xxk+ZE48gGsU0IEUYXJBeLNxb8k
iZ58FuHiRc4rSfz8fknzP1MTxxhvgzyRPLyCQhaTtIJPVJrMmmzQrLXMyXYbs8QAKk9CpRtJjOv3
qiweq8hqT36oBzrqszdp6hDZfsTv5oJcCt4uaS75RwSo9SV7jHeHTt4Mmbuj3NMtRDVqccBGO41q
YcijzYhH16fEbVQeQGH71mA6YYiqueo4v25aLP1MN2UOBENhFcZ07PsZiQWxU27qt0W4KlvJF/P7
z2Uz7Ou6a/aG4/p3NaYPaeE+hMJW5ufZyWtjFfgV6PktqypYVVeU1XYcQBZzEPSnaihajljKDQEr
igNJY/8Pe2e2HDdybt1XOS+AjsQM3BZqJoszJVI3CIqSME+JMfPp/wX1af/dbFs+vneE7WiHLbGI
ApDfsPfaeQRArTqaZKKnm8xpgYE4hU08jDWFBN2C3RuX+ezmRI2SazYD3rXqNlV75anSJ0sMiRIZ
b6PL2MhPSdS0HX0bLIN/BoHIMcf48JgtRjvAyTOfHXNqLobw6ttMF8HZt2LuXhOTp5cGzS4B9sk8
uF3QOxf+eCWXSVygIggGEYa7vNHR5GD+qmcUQl1JBk/v3HcFuypjYBMDXE2G+2CyJyZUMvxK9CwQ
kxlotuYm23UuuVOBVHKvjDw8iqmbtmoZql0VMDGHiQKDYmTQfAlkmhPXIkbvG1qleq/ZM3KOZwLj
8/wcAn3aF5kvD348f2F5gHs2978mxMk/pK6qt2YJUcJm4ryxBlfe94LL6oW1t3OXanknH+zJyH16
8bnvL0GW6vtKK+CD/lgBQjWcQ0yQwHUbZiSLdf1TF45oiqRHZbTrq64hGzXmFYVsEoc5YMSEuuE8
VjC4rZ5IMDds+lMRjs51Y2sRcdHqHVww6Ole00Ba6QJgGWwAc95YG+6Q4o7QCIyFsLl1Yd5yCChK
vqkGxGZ4p1La6j5pCAus7fpoGb08BOsJYat22i7wUY8urAuGRMp47eOl2xJIHV507t6PGRFWmO/E
A6uN4LpR5fBsgQy7VlVbMnVmWJgyE5Pe12EiQ2MbW5Y+D0vdHXKkyXCgGnRV1cgij/vbKp4sGQcE
EtjGjfA60Kae6W+LwGE96qo9XteKwabvvxlF9UJuaAHdwoczPUnZ7w2f22aDeg+ctR7GgwAESrxe
0THOy5KtdksOoiQdTlPtfmuRqu2swcR72YqVvFibJ5VL+y3GSd9tQf4tL5hQ8UAZkkowE/VWMbPc
DZ3jPTFpNW9488tqlzUmK8LM8o+iX+xDRerNtidRkS+tNOfrdDR8YjJs9h3keHuB5NoNrnjAjV6a
u8QtpaIW78icfMhiE3CHmVdOefR1PyXfePkn+zS3ui2y+HYbG1MN2hBItdw0eDUP6E4IXFQy844B
s8ZPBvxlgFoeUn8Yf2a6le1AB5J2Ox+dw4VEp4wp+TB/ar2gPBFmAjeQuO691oPejangv+Z+tves
UjzPyRJwi7NFcoxz5q6FHy9SHJLvePCS66SrbkD69J+NNByvKhlcvKLGs0o18FiNlngJ596DWUPv
MpyLrlPZ595rR3GqCi8czkZnams88tYK98hPxm7e5aAe4MvSuMW3MboTqtmpoQ1xsyZ4jcHoYiXO
87lVvL6VCFnHmFLbBz/PG+1GVukYgp2OIciiTlwx2q8BeV/dHm+u8qIgWynDjMLd6qoTkCCJA6fk
2gq3QqQIYRibtTtSg6Y/HUf13K8bTkSHI4FgsIzPwtTLg2J+9UQtij28mynLQ4P67E8d/z8RLNlr
b/xnmQGwKaRmq5crADv1k8HxZ6mDP4mWRUCXHlsv4cBMYO6VI17/WfoLL2m7rx/btAwcovA4RbcL
PsfiDPRyehidiRgp+IBsLoSieHd+HtPAZ7LDT/9e4miqiSxhplvGKDU2WGYIZAhZFED2iWneCl8u
40Uxp/j2e42cVVjbR702JbB1UOzHGUPmKdeQ8DhW3rLVzFDrPihA1+D51b/Piv6lUMz6OEzlckBn
c4APY9bw/mZIBIjdAefxjYOdQhjcWI1GDhuMa+VVL3x67kPgG1YwGY+1penllirlY6ls1I9L6HG1
EtukWHL1T2WKwz9ysfjPxS+hJfzsVm2r5febZU7TOM5s249NQkNO6E4LxCKZEOv87nBHrUsv6RVq
6lnT29W3X3/3f5tkh6bLINH1sYMJ4Zv+B0HNFCaZYRtBeSTjet3dqmXswXYSE7+RyGL4ldsKJcTS
d28VOOmHbmDC8BOCQeSWfKjq7t9c/r/jBrkbhe3g83AYaHN4/nWSY7idoUdO+6PM0T1sPAPRwsAg
6VPPYIaLwHqeK2dhm1qlcaefwjAiO9A2m+RPkQnUt2vnRDvy60v1cfjKhIllCsN1TFQ+06b1f//z
8JXc5qwdsvwYNyF3b9U02PS1A3P1xVEaq5JThRTtTe3ivtzMK3T21x/gn3xX+BNNhw/Cmo9P8WHK
D9TYbLQ1JEd3IYtiE9dwaLdjaMbWjWn0aUJPFreHzM7ShKzTWNe71uvjm6QezKdAjOaN0xQ0X7/+
VP/ksoRIQnBbgCPH0vjh66oJPGrS3EmOtbFudgk5SXbrqiikcWElPmQWDcJILF66Naak/R3Y9C8f
1o8mvPVi8OOhB6EbFFycDwK3Gi7zWBNfcHQVfspjbnaqpTDrgirnC0mVCyDXngP7qfBj42SuXerv
1J7J6Vrr1vHUVOCiQGmdHod10NR2CbLGnyiMuV6hFT8v138n0f9uEr36cf50Z/1tEk0p0K//atvs
L2Po3//c/46hA3BRgrfyuoZc1cl/hkyBi/opl7ZYXP4xf+Yf/5g3i9+gSGHEDskYY5DtBv+JQPpv
Nz1D8BAvH6/OlULw8aYnvj5IhylN8HuQAwlyRB3sfKX/OCUovi1VuXxHG9K9tyYxV3+6LP/kuPaC
j8s31HwhPT2aTibe6Iw/PHKZn9Gjt31xqqhDLn4CmRzsNBYKXWGOdodUHIduzUSDrbRuuMEzO5tp
TRlrnEY9a/JSOqq5NTijKTzI26HJ+RsVK9FFZrCBierFGNcWUltEcXCuXcWZr8Zd3bfWzgbYdAl9
yPurqizeqNRZipufYVREYVC9dBl9nUxtKoOc1/wDGB+fdBcYxMFMCfMzfqm1ybxiShkzll7Wt3wN
TJuPCUaWzM32zQ7JOGUVCG4YmdNJAZcwaeMcA9VsydxylI8mahDjHKxTzY0y+Ja+TYmdePs59A3r
k5ho+3fVmCykMqMZdF9TESLnWKnVQ3rVDDZGrc2MQG2+6yyfTF0/CebkRlNgBfumUGbyMCfCY7BF
3jmB9knF+t3qp0FsyYu13ZPprP/PBDS7/7LIoiWBlkneJiGIwd1Q58oiis0e/JA5B8y70Gd5ZgI5
kP4ZMTwbzOQrzVlyO/mq2VEZltmm9xWIPzPpghc9LoOxq8152WFPIqnI01s6h2V1aoFLZhJ34we5
6KNCJPaxxA+HdgiR6ByjnJPlPeiN8lDJShDvEmD7CfetnII8mkqvu5LVvO94/5E2X1jcMCR4s2zP
mshQYXw/eWp5Llq3eBGpKjZ+WaeRDSaJd3nhfjdq+gYcl6gqQxoLkuPDPTOU7DRASX3NXeQJwOZZ
zvqyPmVhDWQzZmtrmuVDir7iflro3Bi0Jz5xnx3BabN37pv6tITqCZj7JBnGhf1XdyWwV+sSZ4HQ
fSoSDxnqDCETf3VPwJtTReCzyudmAv3eGWZ6SJYmfPdIF6LIjGV+Nxle95ZMaBoiQG7iJlSBTjcD
Nf+ZaTl/Sola3Mue6A4m1JrBbfmUG6316gEBTiLiPt4zJISfvICHirrW2ZPu4pySopqYbCzEMNjz
9zjugzeNcG8Xto1QZLIlw5vU/S7X2I/MdHY2RTtfTU7q3pZIkPb2pJGUeKgajhLjEuMe07sQumS+
LtZITpBfkwFlzeTTMrGBAE7U6whd66mHxnZrz25zLOzKvpoBjt1AOdLHKmnde6QfDPSmNn/p6jR/
5RstD8sy2ldjo8vjWNdEfminfG8RVMVRLBP/nElb33XuMF1XA4IMaEYmANc28B9UPlRYZBnz7Q1C
AS+BkvZ9qIWH1INH4lguMmYgHWTZuSZN5nYMxv56knb2GcsdIHJbzeLSFlNGWHXRPY20iY9Z5rVn
iFpMUwg2fG2gRKKV8oarwW3IEV5GPz8L7Wtrb1ZpdQffIj61iEUPgxYJHs4wYPA1uT/cCekby2n1
eckh2SehcaqLtiJ0I76AqSIyhJ6S3FqGtyy1TlbYXilXqCgO7U1bOOO3sZ6xlBV1eRQ4oze126Kh
NnuQ0Vnt761ULORAet1XANfjlejmbF86SIy82pnv88Ylr6kI1LGRo30PwkG9jKhR36HNTfdckPh2
wTX4WfvKXAWj1ZbnZNg21ZITauXkh9bJPaTGY1M8txkFK187T4tBVG3oF+03An2Ggw6qpd8szEl3
i7c4G9aaw51v4qaPJjyHRBhOKTsk1/qhLbpBshhi2LgCdVIISY4ch+mCZPuunYbwxmqs5IXo1PJA
Yla3X4izmzbQ58XFywpxCYcivDGayrpXyzRyUPSKzUuzyjTL5bbsRiopkwcVlEiCkooAjSqK52E5
ZVg2z21DQgvgFoS1o11fRuCwKFR41aA4hNOHQc3qHPPRU5VrMX024qjvPPUOJ20hWZitAknVfZ4f
e2SoXwvP3y34686cJYApusb6koNnOZW9CwnAybInU+b9Q+IP/g0+XVRXhNdgYlVF99zXY3izuP4a
yNwab20zCk40c34os6ZLNjw9/nU9z+obmSy5ijCUol6t3flsJNV0iHtzukFeap8JalnZTF33aUaV
ebe4AIAV0VgHO1vSe0629tULx+ZrMNT+D4UxlCXM0APFC5Nvc7HkazpAuInRqM7o5K7U0rtbvF9D
ZDR8zig0egO4cpHPG1aD01uL1K+EggeDkCW0gZ8vdbpP8VgPu4bc41PgVlkcuV5e/KgdvKp9OHWf
mRl53s5pkuqrnSTBoabgvoxmHFxNQY1cbNHylIYBMpQCzaGyON82pTOUN4MjEHMHVQ9iVg27Meib
c9cYKB4Htpy5U7g3c+mzKprq8XOAgB6NLUuJqCfdMtj09jzes+kLrrURqu/Mz9cBwZhxXOMUSK7K
eTCe0tT1XtFp8eopjMbZNL2Rk5Y5Dy3SPlKhd0TMNERJ1PZNJuKa1xK+gSIolbnJYzc4+DB613ti
zthThAaqRTNtIvSFwVshdMtOwn5DdcWIN6ndxyBJeiyZi309D6HDa1BZdxidRQQg/7J+gUCSbPPA
UC6aVJ2tSaHWBWlpfkosdDIyrZu7JrHsZz8Ypt3iG+W+6xr3YHh5zboAcy++cZC4RUZEfWO3YBtF
f++Ts/c+pLIcNubQ6u04T+Gj6TK1rdms7AXe0ydMEakTVWSv3xVxR0CCNS3hfZmQN4h6tonYSF8H
sZz52itHXFhSEK7uLedwsIId3uDuO1tBa0B8OIfHeOj8I/zNNurLXkV1rPq7VpftXQF3+Ij7xDou
RBlG2kUCPs861IfYlP5nagHrabHDHEGiS+5VUBnja0VU7j4u2he3K/0dg+p72yJMiN+PTS1D46A/
Wrzykk0+5Og1W2mcvNoio5tpiVy3451+z5gVYTUjgu1sjcvWbTjeVBEk3JpOv6/ywr2LqU33ZJlX
VyPJI/l+DqSfb+1OU38svIRvbPD9W8T1n2pBDCj8RKeNYi2cA+ddvZ8QGeIMIAHCyEz/aBHOccvk
Ag+08LNXCjSvh00WUICo+DiysWU+WTCI901pFicmrmbEnQ3ErWmnFNX/krsgrBrK16mHLmcU84Mn
JRNiGsOTJxTsOcIteE6ASnBzhP43Ct90hzjJOhRkW17AkFFML1SqNXFOYn6cRJk8i6Ipnx2LGtBJ
eu1ELklst20xhFe68KhWEjc+kQI5oowEGgszteEEQ9gan5BxSc2I287P+RCGHZQ4MxspMcPmWHVW
0n+3saP0oJkLyCdBuyEO4DqeCFpA3CIJc0+7e9Cm9sVxpLoJO2luWaKjsmJPcE7rWe8SCv8X7QVX
OZPjxEOIO1rZDRwYk9/SOVeFb34h39naMDEpoy5mhbDxK0hEerJOyvBrloGpve1G0kVaW7/JlCRP
37gPWgjPIdklWwaBzOY78mmaAT60sA304mitF1qEq6w0q12ZJ898LfaefGcnCvtw3NrsYTdGmZGY
k9mX3nVezd7Biz8NoNKLomT1EEjyCksuTDWH5EepdhPYNgIKFvXnJO3sfT0G+zRBOUBo9G2qHOuT
LcELRsGCHoTdj9wz5LIibSyQT4vR3upGDZvGqQBUocfRWW6/KtAX7AJ0S0RYcAhjF0y5lxZR69V4
47n93oze38FajZ/gxnrHFivG2bV6cUmrMttOyexEOpAcc32anbLWB5PXDzqCguJGyhnnzbpiuKlh
nu7DIle3ruCXy4MSDvdQ0SfAGo/gmPS/Dxf+5TTk722pZxGBvoqwfNIIPmLx0thhADYG2Smveto6
YyFyV+qAt7RLoNujI2o6UmqpmiObJJdf96Uf9cEYKC1PWExhmENiF/0gENRZLT2l2+xkLoQs61wS
aJOVKcr7sHj49Y/6qLbkRyEd499r9/t3jlvWZbkHUJcf1VpkK/KMKPidKmm+//rn/H3ixg8CnBIy
cABgzXz8rzO/olHKkYWfnEaEPXvMMM7JG38GHmfDXScLJtFTmIqML716Q9xBRz1r8pKMOF2b6zjl
0/38SP+dH/3b+ZEfgA3/hfO+qYe3DxJG8+ef+d/ZEYOj31CwekgOVyvsqjj8A1COmP03Ac1LwCBH
ZYzV8h8jJCf8TQiSNBhvgqH7PePjD889wsd1beKDSIRQ56EC/+Cx/5XnHvHjX9cwEMuEZ/Lk2DaE
R3yfH8a7rW4KQq8VAVFtG5pRaVQsZwEVEfjQsQA4+uCUa7JKE3KRViTwJbGQNbNmTL/1caAbJhiV
RdSVSLuFgOWuIt659713zappR25W4GyIclbXTVfI8nOmne6adAfxLbeThZjOsWAVyHbIX7PDp8k+
ZAYGHX8YfOtElMQ0nRc7k/NF8pbcpVBR6KCtUm0K5RWXlkc1Msd42LjKuBajajOspAF5vXmtrW2n
5JdptEDeWinRYNNCS6ZyXESsAkZ3oyA578OAh2bH9MdlX+6l2aWEq3Oi0PSPhhzlaWqqvN3Qpi1o
VIyDxbJ721gh+Z3sQFOjHKAvJ836qZTOPy9uT2TCaLfbkRVLGpq047mmQjC3c4HMeDs2ZU6jBR3K
pZar1wjNBqIGB0dcaHPDN89VFno075hguyhvdH9HWnPuXc3gGd65IiT9YbSJ5ZP2Wn0CJdwbzpUv
k6XY5ZIFrDOTInuQAbuzHevpmfAKh6hgNq2UvKao9x693oStxUnTwT7mdBkQqtBptdPoXzEAApyq
I7NH6MkQKC3GPMXzkEjYrSeTnJFwou4OMXXC+jDBgP2E5/h+uyUcgfRS2zIf+h5JZ0m69PItrP02
/xHmZv9DEcU62zdW3bsVNOAqNvfekK2UI/g6/ks7Q5yl7wyna1KUi7NXj6t4UxZxGqlyzE+ZE9b2
TpbFPToQuROoXDZxWsy3vSrpLzFgcFsuRbNVLLnw6ZrmOSBfhehnofdk7xaHoklvzYzl3uCNDtmg
Rmlts5CaPCq7ITkHweA7kWNztSMrD+Ijk5pp2JW2IrxmEXJPmdu/NVZbvltDZ9ocsr2HI7JbBzxB
HJSETLBX39R9aJ57ts8bx05KaoosN49OPX5hYTENkW4c9454D+Z1jdMmXxLpiCtsltUeM7NBaoxT
b31+3IXxWnswtbnc14gBD+lcBPmtY8Y+XtYA52ZhieKKGrGbWUz10xaGX32aZuHeZFjZrA1Jyc41
ICd9rilzNzoXND5j+sZnzJlyVjixy+TGS3sK39HxrlEbQFJfivgLu+FwDy19OrS57eyKrqjPSLva
ZwBTNySYu/frnX3LoFFsfWGzqetMNBK+2pAeNUSB3bq0tK0luQKt+NGYhIU0bpG8JG0GmrdzoDlP
uCr60iO9LvOSQ55PxQG0Z0yy8GpFnYFntZ4MHxPkqRsP98k1eWDITMVtbecdgtXYu2at5HLad8YR
J9382e1Q9qGyWebrJbOt18pF1UezrhvOx1LYD57ljAxoevuHgbW7igauxr7Q+XDCIPsOPi+MZMZo
bWuMqgs3xeQ5j609o6Sx/Kl5dwKVPLksnQQDbOl+HSq0cHXY9/wdrXFiLgZ82m6RoY0kHc7Ca86r
PjwK8HTt4Imj9K6T4Li4HiGY5PkGmxGUwB7NksmNPg7ZlRmm4xN9XhGVXJ+nfunuua2bh8BS1yEC
x8gt4vBo+GmLV83u/HMgDUjOoVMG3xZyke7CMsjgZTT1N3Qc4bYUENmx1EEb2KnGQS0iTAKE84cB
HcNJ4YvbFtzdjyap1BWdmLJo4e04mgf9HIic4InFTfyN73e4LEErbhhy2F+aMkFhjt5ju8ymk+Oh
9NxXDDDh1sYb+9AsYRY5vpw/F2lPDWjnzcUq2wLso7+8E+w97ZDWDj+IITIo3jvi2su0BzRm2S8W
FLdbbWbh7UTi8J2q3WZvlslwZ0nZXmFDFY/0W7pgqCOLbt80fbLrm068gZ+SW2cZmwfwCZjmFY0E
cPzR2Dg0JT8WzQSxnmr/1bYGbWw1t9aOrB6sxlhFvA1KtnlbN7z5g1kaGz+YvIvV6STiibTptMg5
gmvYXgWzm56bULZ3nZlOWxS9E1c2TNV3xCnDozslXY4vJk63vVCIglKzZ3i1gMM3yak7aanUGDlW
972qMntHyRpubNdqLkve5hGhsfIavv98X/rGjuFNeOmgX6PCVFkakwdpFJdUmN3WtLr8S9lP6NER
CF/8NlCPYjZ75lNeGj444TIcp4CJWbPEGROR2CFJkQzUWzm1xeeK2cnnJKjlXT2WMSmXcXY1LuDG
UzYGz6Z0FFk4TX5QclK7GL0ww74aVDtyTsFghFZ0OBHEMxG96o/PDg4Nhcaur7cGg5kI7CzhpiIV
dx1bCHvnB3FzrmdinKKqmNUVQU5VgS0P9VrQODbXcZhfnIVUJXeCA66Wiu4572J9NjPTe7f4+42o
ievsDubvHHm5CD8r7fZH4WgO+qAWUOX6pEfMkxXetc+m7yn2J0luNLJucn/iIHO2aB2vx66Re0b4
+C7+WxzXQzaof1scY8z8ZXHMZrWBUPhhs7r+oT82q9S5IRhkqN/0cfR2f2T3uL/5fkg+D23W/y+K
xW/4itAKWasQgbU7f88fe1YqaYFoHAWxKQK4oM5/UhQzifpQFIPIsdjqr/BnTD3uR6OhJDauGxGP
nrUrlm6Dp9kj1c0hfUJtWs+ZXkVS+SR6uM1D1qr6Rs/MxNn+C1JQwzHfmbx+H/Oh0GonraW4RbeJ
FNMziCwIkVnyhrTPOPTNDWpANHhusLAWbEhlJDSymH34J256NZVzcy2SkJC3xiqv8dkWd35jB4dK
hOkhpmg6OAVj1iipDGIo6bUPOkvlqWD9eRl75sgaWJNBPQoIEqkqgef+0sxfispTDHXIj4jsdMSa
bli8L+omfmg6B19vZszLaRRfi0I3b35RBhdd2DHDyyUYmE8h558nDzdHvHi3c7wQVkYdWIpoTYo/
rcbmYyEt4x1xTPfDb3mX23mNwhiK0/dkseKOfPGW+jZtR6gWtnxwemc+I45FEqsYW1SRnVvonBsy
2lxEzcRu2cgryUm5SUSdXPWtNt5ZAWHqw7AOT1B39Ull3cvEZpB8TYvskDSYntN2GB7RF5MuXRpa
fl1DWV6kQfccja6jNizc8nGj6xAecFBDbIa7ubFExijbDQs/sixTvnUAJ7GiOPNnxhAWF7kuv5bZ
MBxDnQ17kxXBu+YNdJ0JeWvoxD0XcmjPMtb6qo3LKapdv9/7S9BbW4n5AiWwoiHh+0yKlzALiSDk
Ko38bZXRs+e1yytl+jHYnMrjF13CfEM80Xhtoks85q5ID7i7yydw6+nnYsgYHrG2tlGbL02zq9h+
mFuAy6LdpJbNgUs2a3HqpDNeRofalWxtYcPyMYlLSjX77zJR7HLnvk6ZrNlMG4momX9kuTUyD1tW
InFdQnVs87S+ywiX2Tid8q8T2eitqxVAARlUlxaWzrVl2CZLjmomGpo1G5UgI9rkE2geFJohi5yv
3TI7ZNvirj/4JWcsnJ/qqFsNAHLynWRLELt5Q7RGeJ/QjUZzYOzatCLMWU1bT1LTluH0Tvp8cRIS
eiMeJiPdTv2oDg7i+yuUnV4POHGon8Mmj1+MykuMc9xxVO5oQsxv3Sz6cZOKeXyYSEXG4aAK83VA
S1BHCRL0e3Osuy8SVmgUtrP5VkhbTgzxB/XQE9URHB27mHuUhIxLMwsta1jZLMrwe+AxHWPT/mRP
Ir3i6HO+juzkCcNzuGkjX7ILbZM6+JL7wr8U7qIEa+cifNJT0Rg0pD5pi05aTuWWXUeDY6Su3iBj
hs+oIr4i82y3XittGDWe+u4SqsgcnA6o3sVBXL/kydjTtct88PmyavlKDyPpRv28PXH0DmtXzTB4
QNxxnVrLsG0Hec9yHqMWYXvDDkYNdhZGTLsAbCvIBkQCeiKkc3HabOugeQWqMpCr25j+2RX9GpeZ
5gHXgc1iM4680VBU+5ERtuIwkRH/YEG/ODSZKJatEQ6xg4FeilerSKm4HF6mkyVaFYU1bRHLl7Y8
Jcrubgon5iAPGxsdLyc2F9avcqIC844US3OwZ15m8XiKyaMMyNWe2y8oGAjBcOAwH2FLJMhkhepv
HSTj743r0xz2Zj6xnFEGLxcNpqJh9YDW0HGmvRGk3RdvVvP3rkznV+XU5sVmu1DtoAoEiqJMyTgK
Y7tj2BvGxTawcBl46UyyIBgiKzJF+5gUfUvTFc5X0pMZIUxFt/Vq/+y0aoDHUiOHSPuSuW0Wn3Ii
SUHIOt1hEdUTm6Tx0EvG0mus+rTpJZErxPqoOgoHKspOLPqbpjzHnWZ63baxR3QITYoyGbB8fose
tJzGK6fsvHqIHDm32WdtIOU8KibWhXgJCFEtCOOUyGYGgppVn9/GC/tzK8y9WzPHmKTNUj54VSke
EJ4nd7wWF2bVhT4xZ/5EsGn90GGLfxjNPrbornGozdKrX2xDBuOmRjBwTkHyfgoA6PCSmnms6Pjq
O5wV1R2YLzaHSUWmeVY40I6rPmombe1yVya8tjntoqVS2Q1C5HHfBT6Cfbuvqps8FHxcrzBwKZXM
HXpAxjzqqKs2puy9axK1vFtNDXpxXZrajdRD/OgE0jvlWTE/YU0PKLqnOP1ua0Pdwkkaq8NgdA2s
YhXfhE3bPmru8VPCL/5O6wg9REn3sAx4UJa401/YHC1QUFCDHhOzRIjvKDppcxh33RCPhBa5vI/G
zNRXNBL+Kc1YFlZzfoe/nBSkzrJv46bsHV6yBfnfOj41Xm5d5NIkTVRrZyWojM1dQtDVYb2eT7JZ
zOsw18g2HMM/EMZs3GI5m2yGVrN7X4Y6/RYP5IFhOIFAILuFbEBXDOqsWPjfYyCbD6EKw9OEG/GT
jHHIID6ZjjxPHr6HsZHYcf2w4isizR2krhLbISenHhdr2N3PtqhQAOV2GEF6MHdoj8Ux70rndiyq
+KIxUJ56DkZMhNZ8g3P5XTQo483etpqN27vdSzaW6Rcxx8Wpb4z2AIDdINF94lXD7ZdySDul7a5y
eX+fTXlxF4eUIK3vz9tiML1Xq8kCjFA1T166vjSxr1nZQc8zmCopLat5rFX4Qgza6klLMVlfdX03
mpGoAytFmzCHrxmzs0do5H1352GU6o+2T4jbRnte4ZK3Znbi2mLSxDkWmrXoyKpjShFx8HPlG0ur
R9kl2wWtp9rbqefvMYH6UUpuVhzlyXyPX7HJrwZs3tVxHIz0xW1tN3uzPB7xiP5auDs5a5ngLfUI
YPUuprmwWzo0CViy8cwta8ni7E9YMfs3GptXyl5CUAujfs+nxfoUDqP/hFOpPeNXfupqX+0qu6tO
fscs0R/ByPjN8uCV+pUX4A+i29/ywXv10W9/RRJPBeFIXE+9O776oZEfPT8o6arK3exUxjVfDs5X
CKQIVobuh61duvih7VCxA9gJmOiOGfwOllX3tjsXKhpHJ+02rQwTEGreKHc4TfV9yuhrtZfObmVs
/ts9/Z+6J3KHftk93Xyf/+fyfcnem7/0T7//sX9sF+y18YE3D2GWXQAA3j9aKAC6vwlWYghXAYSs
0aj/aKRsnz9k8xQEhASRKLWCW/5opEywCoi/UHzzkqYH+o8Eq+6HlZmA0YI7n4QbHJ3Eqn7USXeM
nkGy1/m1tMZMvTmMPslocPzB2QlkRDXjj1nOuTpm3MqVcWqwcrty5QvVR3yM4sAzo75JNvdVZIjW
jZZcTfpqAbv0vZOlv83IgpG6wwWZwNvnESwxtD+yINXBiCF7tCymiSUKP4jgKqHb3BEBmKfhrciM
wb+fmnEybQTrg2zVo/0THerN0yBe4VuXmdpo4hChWKaNqKtzRt0RAYXiGJ0YLuI5SzTOpfSaV0HX
Bo+p5etmziM6VKBnZuUM+JfQdVQI6VibmrsAZWopPmedP+jxULdTQMp5L6paXOHEJhJbi+49xZO2
97tW3blWWVNvqTn/f+ydx5LkRrZtf+XanYMG5Q5gcCcRCJ0ZqeUEliwBraXj699CFtldWWQXm2/M
Ia0YiQgIh59z9l6bj0qlza9VgRjh8p8H8L95AJHtL/jV/zzbuyv7/0Ap+e2jvz2EjvuL4E85MH1h
VX3fxnCtX5YwCH0Z5/7W4PiXRvwXk6kWIzeLmY4pHGa8vz+CJlNBF44z0z1Srpan828M+MQ71/eD
zwpst9CZJ7t8DyKYfvAqIOpJQVzF5X4iZXTceFFqjeuiiL1dxF27RWpDjl4RJu4NXQmMGiYBSWeG
SPDtssh1/QaWGeCL2HqSbaSuS2kWd0Mrg1fm13AokLNU2BhnsadIwbgAq0icYg1AFZorgHvjlMrc
77QpwbLFmoQKKdOic2qUYGUzwFLHfq6zelN7cciGTqnRAAQiIxSRQ1J8bfMeH7XjKXubEl90FRnJ
dJ2iOUDfNg3aRq/hUTYBG4gVl6BAVWRFZnQYUIQgPle0cSHnVevOhD7bk0N0HEEkHrwJm+Nmymo6
OTlfyq/zoPvCUdiMN3bBHBRFXAuiFFYyGm2Zwb1V5MROQSGRrMuuTDe0ScQ+XgBZG2vW868xF3wv
AqzxEpkfTZE5Dj7PUqB6T3HGPtG2cPi7fLMnuxLtUzHq6a2XEuUaTHF0NfZBcV+1aNW6ls7riY5s
KHy7NzErkp3u4iDPMyNY60ZdMsxhBHAzpXyvWlacyMQIqCJ1Kw4o0pNpQTrO1asRuu51kOGsWyHR
0w0/8KgPfPzr5dZBlbcSbGGnChxjatTetUBXEl0k5PPtW87fdiCv5SKTcb2bo2hxeHrmdooG9Jh0
ess77NXujYbP/AweN1+jdIZlCeNznQfo0cBHAoVQXB2kN6Ra9055laJF0u7mBSMsncQ42tQNawyP
ve3HwqSpO2t5x29mtkbzof51BJL70oCleap0ZRMFMtcwdkUoCK/ScncDZaijeQ+h72aq8CSjm/Du
zCYObyagOuHGmxrNW4vBejXJkMXFlWkCD2+kjW8uXu112hreRVVZTohcSA+PiLaKGJ5w3c0HiiZT
7eKg1y5M/KjjejSdHGYBZlEkSEjcOvpEKdlbAMn6WywgIr2IrAkDO2w4EHSNlA+FoezL6JtV03r3
bTILWkyc8t3RGdIKwN4JB3JczJ7vzk/17gKtF0PowiSnWVYtPtH03TOKKWkxkLqOiwWAoBeMpUHZ
aN2xe3ecZvXiPuWNh++UQEdBVDi3zzONPu1OjUyZzTS4dPJ8OMWLoTXC2YpCObzI3t2uyTfrq/nN
CIvxwGEOuRhkhaXHMFCW5tVinw0WI62+WGo7S88OTEnGx7gzY6r9qLwEGFJvWty4yWLLjbOK/o+T
mIaLHSIaH6UMQrnn8dbui8XYWzYN70i0gnnFaxPrL80nqujFDqx1ZoszuOA77BWhGf3yOu99RZrX
iTjm5MAwSvjKKwhlcS+6pKXKHox27bnldCSKp984U0wWMw0akoemHTMI7bOYWWnINUd9RlqJazDm
iE2cHBUKX6bWdx3wJt8Jxx0NW/FoNI1aJX1Pm1D15dXo6rfoKMwVQjouW4vJO7TR+g5ZgGAMG+sW
c9y6TURx0ouq/ZIo56zPZvDCsGrcT2Od3RXk3l0lhACtsZ3M1EbtcI2Awdou2kFoKvhTbDmf49pV
u8xGxRvRQthSTAKNIDkNOwea3rhpygoN6/xSBg7Sr8y5mqvmkoiBYF2Z0bBOISPtiK1ttonU9Mum
CcYr2WbUZW35q8dquytiw93EgQq2WGATBJ6CCp250n4uy3idDQNNE7BOJ5UBR+gJxS1js/WxnUDN
cSACULeXqwzp7NOY1ONez8PuIcGsyo0xajvUAl/7ha4MlFVtugYz8WCYwauVCqDc0wKzkgy8IV26
pn7oZTmmeysH6FZAXtp6HlPNFUzkeEdwuH10GdSvJ01zbvoq8nbxvBDH85aANmHn3BVyds6oufF3
YKqLk41bx90t1WDw6NWCR1bk5MOUfYTLxq1/helcpqt5itPnCkP91kAWuQpi093mLbzuksHWSzUG
+hPQYA1+F+OicizmM/UmdOt6BIRs5e6NxT9ctnLSrlo3fHRw5+prw6OLgCpTnhsTi/sKM01qHAX8
9gsvzV0PTCzNtqyLe2edmha2oFrGMy6PnHZpBw1jIKsCjCziXYyL6NW1akm4LANUyqCHj1oTZjjd
wx7rSa89dpXePnHHFbUf92N10umlyyApb6a5088WUeq+2y3SsYzbwB63+mS268mIiPWFPbAaEFkf
msBJvlitnX8BuLB0uKwlI70LRnQNuBSPBWMacqxVLXwpYuOhZGBwG3kp82Y22JvKQyNaB+ar5vVf
47gIn2mTM4ZUBeBlWzwUUEzBO7Tpmn70sBoM1rlZ1cEDoofdZCWvoFg/uWYtdqgiOqBQ87C2YvWs
BuWRS12avuPQhKe1thos/ZCiTtgwOqy+kFM8wHLSSt/EWr8fgIiXa2p5ezPLwLjOsORDZhzTm8KQ
5yLsiot8bvoNDFSmlSadkG49RvTNNq2Rz+dQdcGGbfpnxC73eBrYSrG/iGmJr0ZrQDoDksgX6Ffq
FYpSbP6iXjYztbvu7AbbBG+5TUQy6ZuZpveaKUvfgnf7Sj2Awzp2nS+N0dxSaXwNEDFjQYDToDkv
BUgYHy9MjHJdd46eCuaLSkcE41j1SxmiPZ+9/jgWacDaWVUbigwakeGAaGdS+cEaqoNYoq0SaTzE
o0ovMu75VRHLJZin9dAqddG60kmUHrLqWHbTnT1HLRHyEZHZg1jDS58/wzax153Vl3eBOw3ruJ05
10FuKT9TTOqFLDvoLm2+ZbaerxrN/RSE5jPtiuBFr4V1BRwPSIArbmjScl+JT7B7jQPELCS8tFlO
6BzKU1+bX5x8xAJkfMZBX0c+ColqjRRj3LsV2OXWruxNXINwHlwZ7dixOLfkb4REMo3JFhvHdGUW
TnBNf+vYcNHRTEEh0s+RapFAOxW3KABtX0UTcxYjMc5WlTxMaSVvAyKodxVJaf3KMYvyto+wlCUw
bh36rJB+S3jYk3uh1a30Wzk/dlCXls1mbRRX0IdhLI/eyazKryIO97WJRSnS9Cuy7a8W61wWdS3c
JWeVVPlrk6Fnntvpfmz768rorjqtuGS3hjlczornHrAK838MekMf0vfnMRcuXU5fWLFAjwxl9aJI
XPdC5nWBG75ZmcqhXoYAMiOAKNLTP4Xff1X42SxCPyv8Hrq36PueCzSh5QP/6rksjRVAvNRTv9Vn
/+q5GIg9mU97AtknWcg2c+XfCj6bqo7gpSX/+d+V3tKHoROzyBupAOnT/J1K712p+V2hp6NPsiwY
Bku5SQ/xRx12yZ0WlcpVl7hYQd+sXXaVaptLMBmwk61DOk0LRywE74QIni20Ahr7Hm72HgjaEJCw
3OmEsy0xve9Qx0gpcc20tmU2W2ZTHLgpHRu9H3AA5tIOxlvNUSBu1r03MFJ6iILJI/alh/yN23Ac
6E7qWaBdebk9QPOGtNx6a5PplfuVrjTsiv1I+TwNB6QkBmOSwJmwJHmOWw931cBJvtOK0jHB5AGs
3ITJ2MwnzqVtoe/madI5LMysajHA5mYIh92eFQOkHJ9mT//mTE4eMbyOOVsMSmVwX+RmdD93pbXn
R5UMPXvt1xFJ9z2dmQYOSx4lNzguzt3U1AfMLUBpyqB/8wwdYWkLkm0Vp4x6JNaKtVcO7LyIJ5xZ
WI4J7xQBC3xOR5Ta4wiL6UQ7KC8MguDc6UxCwqAdprFcaGypFqo7TRn9rOPaThM2jpSEprMzUWP2
u4GIla7eG3oYGIt1Nx3qdOkAM5u+rCZsq1wF7G1mPhz+WRH+qxUBSsBPe7GPX5ocpfeHReHbZ37v
ARm/wA2BxkxMrEmnc5FZ/6ZlIVrNpv9Df8hGu/KNHvD7oiBYFLhQrgnaY7FP/HttYL3A7G+gZEGE
YhDj5vydteGHPiwLEvMPRC24NIA4/yEb1TWGfoYuJPYu3lC0e7DukxAW+ner5J8wAn40grioyPmN
rHwWyfPWj6qZAPQAu1owzX1SFMZqAIS+cqegfC064htzCTclm5GB++Xc/RWSY7leH3BCy8HRsrs6
siG62nI5Bd+BUiKZwZBNXW8f2h4JNE7Tjv4w0aHKscHcJgxx3kLWJm/VFrHlt7OKv0wapvCNbKTl
Z1TTK0Uu9K4b3Gxt1Vp97Be9cOsmUCyTDItNpxr2i2E4I65xsInLbPR/fgL/9EdgBACP4/FSQPz/
8UfoDYTtvJu9fT2zikx2OW9zDQhl7Izqobb0AXN/Cg9Vy9XADPqd4UiqEOhgeGsdKdb0nsAplC1h
FfoAGcXzonk7uJi6J29IIclRiuVx321VMXfUXwj0/4IXwy37h+vgOqQB8oKk62n+0G5sIUn1kMk8
WvqkiDYQBnBaQapwyr/Cz/MK/uORQDyTFsiIgWH0x5MlKPZZxTnSAE5vj1CRiyfd+th0Vn2jCxpR
P786PzxEQKgN7mvHtWHOcJMt05vv7zDTaIsi1zKOF8bNDStKS8olFPGfH+VPzp8N03phnqNq5m3+
8SgeM083w6i8b0xYPi5nrbK8eJ+27v3PD/SODvpuv7D8HmEaDF558Njl/xiYnKBqJT5IunsTLcBh
dlpzEzHm2ynFhVO5xczEiGS7AkWb3gJUdy+qTKY+MUfBbdQX8ykXor5p1AIKlQMb1cqI9aXIs5id
ZxWQjaygg8a9+UDIcKHWtEmRB/EWp+VjhxxkqmzmJK4Z71tTtk+jnOP9z3/kN0T/h18JbBZ0POgU
Z4k0E4vU77t1ISBnqY/mZtoTv4HeDszYAUJ0e9BoykDcaE3U5eXXCUmSL1LScrh5k32WJ/2WarXb
plXTnKs0Hhl/FngTZaE/GWYanwVVwqtD7AW6c0lROpp3hpcvGAhweOtGItNCnw+lAouaD7VlesA/
aPpFGKtdGm7RpoSvLGfpXqLNISzXFPshLtmBSS9idxKAPMFCuWdGptaliPMNOyBj11qle98EIjkQ
jpz7hVFHsO3D4FPEi2dNSkd4sKt5uKpA8iG1mR37InfrjC2FFJtqMO01EP9+Dee3hJJkhIAdmjJ9
7NrFA1FgZ8uVdiW8Ctu6QuNEedItAUjWTgQ2DfxERpgcqat8zZntGxFZ+n3Vt/mTgxn2a4Vzelql
ugcUcLFVIHNHcLaCwj89O4B1fSc3YWrDbzkQITSB/fXklcxS1+/ceJkF5vF41XcFTZpkQdnWLdwG
AK5RkH7RUs291IpMI4EkDjea0xzZgfKtpVGTn+wdGAYU5zIgO8icirFbhQ0iMzylO71KLpbzSdGI
nxntqLYiNwAXd269CIDTK3uK9AWwkV/YQaUetCztiN3N9fls9Bo0YzXgENJ5v6yTfLR2Zum5h362
rbcmkO11wnkqDh1b0XXttBCf7G1Bz3ZD0Q18s7ast5I8r20amUCKq8kl9dosmodCtf26xKvApZko
gBGI7EfVb6PIujGDvIeMWQ0HWiAKzAwGXKzj5mer4Zo30qhuVJNdxqSZrUEJpkiMMrJxgrRZRTnO
80bXj5UJkFoPEVIl3hTeFUl4Sef1NaLlvI+6Tr8NDMSpSSOfVJe+mXlR+HSIEaEn0nuEa+FuraYx
LpypH4+FSFFPDfNEcp0VrvoEdUU36FizwdawRPWgJfMiWdtJubRmQ2+XthPaCM0NXjS4qnyZCcWh
mdprhk9AO8ESDtxcw+j4vIZSSH0ELfnJGAMWC6W5a9pWOwlakRcdJvF1AxThLRlbHQZn67h4Lpmr
rXQzqa7mUucK4VaqT0oZ9iEqpmxvWIhYnJLHRWqq1Elfq82Z6ao5kskCdZRk6S4K1pAfik/NYIfP
CSjvz5KI+GdraMZj7rrDIR28bgU6zL5odHQtdUdzlRbQcOixK19pKgURnykVWisd17QByt1zZrT5
NSbsHHkw/dp5erAHHFdMg6MDYXHVxs5Km24auSV08uMd2q7iIp6wQBV6jomt5D+Tok9pgyMlOSKp
S30JxgE8APOfutXTbZAM6utAS7U8M9AmCqliUzAPSl81JWiSysxdPw55cxhz4CJn7asNIevmhl/c
HB0Jo3ekf++bEXEttAnbp9kb7SuTB/UMoaPufSK1JFVbVQ5fjKQZGRbp814lSfMpcujKyzJ2HqOY
hhrSVuNe09lfZGUVIVoa2Z0MbPmwUehUf17CtwMGX696g3E4LpH0NqNf/pwkVurDVhh9xoTTtSZg
4WSpQVy3XafbCgbrY9m1TBZi5jyzBlcqS8DpJmgzV3XF9ktmZXCcyeHZK2VVZyuag6ODhm4Hrp0R
m7TwrBPtUW28ZuCXp0zXPB3GsugtmLkdOjRb2CEBYFXQrmjD8xnTy9onMhDoijUW3yTtPeSMQ8dP
0gAoMepwcIN0aSI2lgdVx2BhQEJEE7rqzHlPbl+29pw+OLJXEesKazudrKwhU5L71QA79ZU98PAY
A+DcWKVZHxNMaxk6Q9vcGXpe74JCI6inKbVbxQGg1mW8eWdGUXxtFYlXgJ54GgIZdbe6AyYxSMP+
tqEj6TdOZDzrhDa2KeMMZ6jLXZuY87hiv2idxKTvuppFwYCXch4I6dxWEU7NPDVJq8ySaFtaQQQP
vL83As3E+tPFK5GOYoOEnX5b4dFnjUJINdWgoh2n30k/NbZbRxcUxPXA3YyTEcxtr1a4inTGxTSX
LzxCRCtWVgWphM65HZ2nb2Fd76/3f3zJf2G9IOxnqa7+s3bh6Uvb/c9j3BAYGn8IWPntk7+XrQ5V
JroFco/fW1lLispvZatr/iKFSf2JqR4rxLus4feyFSMGdS5bYYeC14Vb+n1Li5pVLptKpD90oby/
U7ZidmZ39mH3RoIwRNSFFmrQ3voxeyhU9pjx7ooObQ48G424wF/JhPNkgeD3MT+wdqa9Zdy2hrZS
eYjMJ55ijG/GuE+jRsN4F/TOtum85s5z+X88K/MeET5nO/RH4cqKe4+whUnU217mXQopJBKHNpid
ZtsnfQCSWsNRu/JckYkVvBrpDx7rJ2kJ074O7CO9mB7NgArJWczd8IGeNiPdQSzyYZkABx4fkbIG
MGqDFgheN8x0lNGVxoOGENNO+ptwLI0jUUUIDSYa4puOcRdLuhbUt4Jsggs+wly00R3cmKV2EwdV
0vrRlIz7xgKePY+qWE2tpT/NTTOcYH6oe7Yx1lY1bXRtei3sJ29efnlWpO3GzCVoZCPJttAK0QJG
o8rvwkiIrWlNFZ1x/tnRa+OEw/OBUZlYhW43XLq2onjMoAphAvNDxtNIDmO7u0urxLkOSgMwFXHr
gOJkYxtQv3t+ceZqs+/1AcF/zgCDmo4eiLo68/nOKYLfDrdtiTTV1BxnFUzWU5+m1d5Ag+Cgut0Z
fXQVuvPQ+abS7cx32IetbQHcjLi62WZv0Aww6wvZrVw5d0wtsGWMRfdgt7yvVlhNjY02mOQ7Jkug
XtMWgush+ovZJQE00V+YNQsmEeWw4aX3GBRKP3pj86BSBTkETtvrIk07Em6I41a5EfWBWhgnwgcy
Et62NgRxvAtldglBvD4DrGO642V55KyqvJTs6Vt5nVp4c7TIGV6CJgB5VZfJRoRyugBa8aUzrRCR
rpol8Kk4vJ4JMD5OHjVEIiGUu8aE/ILxT2bIwO8LLbgxrO4Zk0CxFp2THpgRBOFp7PRsuJm8sKzf
GvhEqHFrpnHJYNzIvBKnpdNzl+Is9zVR9BeihYi17oacUzZWeXOJRuB1nADkgKHT2CTpX+wip7QZ
mTfnoqgPA/mGqyy29CsankbrA550X7BM9veztkxTSBPeSHwpCwqy73Oseb1ItoEsi2ydwcB6jUL2
ab6hkPJsWkYtFAmLV33mKm+EA68+LtpBR403E5uJd/CiquEfMKtUcAEr83oUxsvcei9607N3JGu6
cXTazJ6MKw+raVQ3OyA75k4PTfnE3vUeIu0X3ewDpvdOVm14X8GNZKrtXkUZLhR0zPE6iaS5D1lz
bvkLRAxYbXQGLXOiihwPk1EgjymlHU3rPmxH87L12jncuQHZIuwRqpc81tB9NJ1y+Eo4T7Q+uGYm
zOa2TqtLNViD3y42qV73dmhXIoJE5qG+IWTXRUccGDmKa/iSp9QCQEbKKRmMq0kvBYAaK9g4Vhkd
Ijzym7rCSC4dTfONSrpPdpMrsermE0pAbR92bbQDZrXsDAgCFgHTek9X47ZYOALhlKXPk2CWlzOk
P7mxs7WLjoxN4oL6ldvaoH6aRNxEQPPRQDKglTTD16RgskmtczYpqTX7mDyq3WDDYxqMPLwcB8RN
ZEDP832d6eIgOre5nBjREZnhR312gvES+nnWgnGLw9LdTJqVkzt8gu/4jAxH+mXTmoeJWe9G8H+d
MqGXl0Zm1ew7wH41iDVqU2ezhm3vkKKXYKVq6hvLa6x7GkHRWkrQiJEAc7hW1ax2gQbJEPJ9mr7M
C3zenpzxhGKP9lYzvFJeEg059NEEt9trtiaqO9RQwzmbQ/WV1gBJSIPjbCMYW9kK/2i/m4L2E/J5
dCgOo+5VJAsD5oOO+yRX2bosg+YizvpXXixwP7ts2BdzjZdjQY3PiKvHkUo8j7tPRApZ2caxnfbC
zgNvO4TGXQhCZ29pOYpP9nHrpnCTHXbffEWPYt9Wrr4yeMFuCqdUzEe1Yc/gTz/oapGOkS52kKM9
IZ5y9ZPs2Gbzxna3baWbFz0SJISxTryZzOw2WCaOThsC/6q81l0FTfwVBS6iDUWDa5VXrL2jgeWI
Nld9qD2m4HSEMbDok3XdGDA5y8kE7c8jehlVhPvFTEnXKWEca3Svni/M2DjScgu2Y1+fpjyvN/o8
tZ9F2Uz4ESso91lWXeDvYySCpPzQzN6vrtflh1A0n2sv7AljH39lLtVvdEMZm77ndWM00cFt2nDP
8Mby88A9D/SaaE6gisjNYuX2g7gh3jnfNlrL1D657fVWuxmj5HrivB6DSQCX0rNz6OTzdpIpA9kp
DgXlCIrFrZhbTOLE/OBKH/pugXSpB/DiajX2nNfbuo9DeYQHoEDDE3JRbkzenIxh4wkYVKdbCo0Z
6UhK38jCnfVNFHjVfJdjtdeex9acFPxRx50RsxGArQ9p4cwrKJ1ZZm+czjDUvhLxnXAamSBunNnK
tPg3z0NqNNxWAtWYCSqgXOlGk39RpTGJlY448sosTbxuFUFCT1bVT095qU9HB6Yog/Wi3eFwGomJ
z8m9XxsqHY5UWiNLfwbMdhqibq/oZSBHZsV0U02+gUBJfAQxyZEOfW+tGDzlt+7cx8dcz1sfUMwG
1ce4VaYbfq4Jid213SiuW+XWQNVqg84ADpJVDhVuldYWJwhR0rSN9DB8tFVQ+U5CMYvngCk7Jjl7
HzezPfj6zAx+LHtjpI1kUZ9Av7BODaiyaNOZDUNG5t099SNvLn0rUHAEK1dF0Ntah2joOSUUSbXw
NcmIaIf+oEeqP2VRqtHKqyUbv2AJoWc+6l0ZAqYliLC5jrdoNYg7cr2ZTByrlz4gRv2lJfuFSIFE
T27cqME16tFeWHkS5maJkm+HFWzaEhog9wDHgIsyfxvI41ONsyBJVPeUkZjpB4A+LvLEzQUp9pN6
nq3Y3spW7CysQvDVoACqlVuMFp8HqtiW1rAHfD8i7YsBF1iTlp9tJWnUsAOqkVFI0z3Ysa0/IQFK
1sw1YZ+EveVSFWNRww6VEmgekzv8zOI9o2xq5QmU66+2g58DrYCOBJT9FoblVIdW6TVptBm7Hhpf
04PD7DoJfMyWUX4FN9ClUk6jftOJ6LISI7qrMe8uxt4RBxm5WPQKkFs3bUYA+6YVRYbPElGNx0U7
gl4laSaDm/d5Ctzo1WPP/WAq6ZwCOyrkegkyIAaIrZkfhEboXeY4FdaoGZ673GqfFMUrDQJhbzHm
wrydhH5oTDU3aOcS+WJVNnJLcgtJFcedzbvE9C4z+mxfTA3PMn1+4431ND7Go2ZsFDElz8OQgilM
m9wJtuQoRHQUEd7BY8mJxik667Y3Sgu5xwjCAnb7JrWRP3sTbTYxDcNpdoYRCVk43rYOTbSkGCe8
xxjoSrJg3hB9YVs0y9IGL1giOK2MqtnU5gDSoJzilQUtcQN5QW7NQXc+m0xgLipiNc5uPVd3eEnR
6LGeJ1+huLT3XqFnz6EBy4/CPvGOJHQHx9jJ9KNeBfXW4X496XUob6y5Q3RKI+ZgYgvYaDNQeZJ4
q43CzsreH6aHEAFNRAfgLUtzXmxJgxU7UiDhGuvsxSuEvvdEFFhbTW82uH6SqzgEQZgk+XBOsMCf
WCRws+URD4szYG8m9unSWibckVZXmzRPoFvYRl6u0wHbaQnfjR2DnZyqmD1KRuoIGyjQKVEqxQxg
KBoR8fSS/lQ5fpb5FJHdlXnT5WCak7UdG7vc/lP//1cDa6BwjKd+Uv/H7SfCa+Piw8j626d+q/1d
+QsLmIkJwYRmR5Yz87Xf8QvmLwSoStPzbGsZ4n3nHbLRrEBfsF3yVZc0YIuv8ZtxgZE1JboD0AFH
A7p3vuHfMC58nO7Z7jKqQVls2os/wviDmoXBFewp+vMn6hrienMmucIoloAShYqla1pB3+NfJ+j6
W1Phf4o+vy7jomv/73//7IA0Q3RsC6h7pLGM/74bFKX86sqscnGCyOL6xpL2hv6OiWrmcpvz5jn/
/HgfWxvffiAEU84XOUIuQtePx8OIS0lDIszJKSP5lngcwEoS474Vw1/NZJdJ6L+7KO+H4lJzrQUT
ckdf/F7f/7QmGqOwTw37hEGfzBgnYQrTzfgqpBka526evUcnRTXHYGm6/du/kjtJcDe40O+cHxs4
Y83KoWuNfWrNhPBbtyLqhzIU9PcQkjzz84MZH2F27z+UO9Dwlk28C4vyhx86Yb1lGxTbp7GUHMip
GgaSY6IT0DJ0Di9a4FEV2YrTRDCOaqKBFBUD/JA/ZYBs9SUD9Off6I8XmV6YizHINRiz2j/GtyQG
ualZGNgnd6SoXjMgjHc6rP7d/+exkJihPeEW5sb54YYKaf1kCLbsk9USP9nbWvuZ2nq67RPzr9QW
y3n8eEOhZEGxIgSZyHiVfhiFxx2QXgYT9gmr9dfWJGepN3PtL67mn507FiGEKxyMVeqHi6nTdnA6
4q4g2xKImrgDGVQubpe1MS8pnz+/UMZydn78SRY6HBP1HKfwRzWBG1jGMOPcOCVmnOa+NXBMOuJ4
CuHzVS9unYo3FNE8pMgsbhXsvEM4YCr6i6/xxzsYxybLnr48qiAhl0f5u1UoMNHJB/CLT8BWTNj1
BZ27OvCYvQPyXus1NPRNmpqNJPmNfE///eEVbDd2rCDN/uff5s+ugG2T9uEtVxp+5ccvk2Y4lfO0
4uFlSHmLlBHSHJZysj7BZ/39Q0mayUghebWYP95RU+U2ZePU1imGQXIL3JxHVgPnN69dyZX4+cE+
LvUs36gdUHKAesAA+8fbt4q6Eq9MBR9ELbGZmkY/p7DI2p2XXOmB2az7F/ey8XEJXg6JngOEDb32
5QIvb9TvryuBYchKyIo56pTiOxtsOtiqhhBj/BLTLeA7rqslSBuj4DHv36PL8qkrTw7ZI6PvxhJr
Rs3r730F6WyCWLgBTILCgkibDTq6SAd+fpLwCn94JJCckbeJJk3QyselyKvx43dGtpjYEwXcsc30
fKvPjPrKWGqkj7RpTyRIrqZwnWVJUwbrMqmU3Bj8sRsG78QqqyTjOwY5+VXrQIQdPIu8+zwBLKCb
Hs08VyZx3ZGvNwmmO/EetE2pYL/VkTvdkhdC/HfCxxqUZgcHn33jM9ZiNLeknne0XU9uaGP9SziB
79yga2JOtGYjLZMB9hxp6Aa8oDb2Rgt5cNUSaj76uRdJ4HpQ/qxV2MeW3GVFzTFczvS7u7GukZOs
bJLTohXdSuPcRuXCILKN6kWx0553WjB7Ekr5koLahXnjq8YgqY3qtPucJln94lQMKI65Eatbgw7u
NXQl8g/ItQnjV0N5XDJntuRiwHcJ4awZnr4UXSrfUoyaDAfoSb8pYAafW6Na3tDDIN5ylZqfKiKz
90Pt1LeNBOcsRgcMYhwSl8r6OwjICYI3DL0UprIMBk72hJTcDlIAUBNpxe8x3YCr411gESvftITs
aqVp3DMP5fx4Y+AA7gznRxMpz+dvIezv2mFjatrPaR6ai1KG6OC5BXazJp6DOPhKcTXBVOOoDAr+
Sp4oA30t582mM0P87/JGLXhTb6tWZvCd8qhJUOiBpqRedbizbSLEFb0EaBbHaNmYkCQ6Xb+H3emJ
SSgzHs5pk+kaeQEUoca5jkG2gC3UCYWXS4oyvX6Yk0PpQk9BlODIY7Wsl9oAQGHX2gPqFziofBk0
QmmOZ5D3oixBt3IHhyTj5UROniMtJ11NvYckBqW7RIcrm/cNU/9FX1BY3MtDonmPLUnP7c7tUN3R
2MT/ari8i8DV0gFRGe9lZEKYeteVxaB6dmgyrskqFm94KcWbjLBQMrFovIziz2iI7JvN/YxF3vHN
UNqvxTAU9+4cq0usqZlPp7wkpkDLDJfSU2+OMVzIQwjIlb+STZhri7nsfb0N5D3x7jEZDxKdzcoR
iToTIaWfcjsqKxTEnodns6WlzjhrjfZP3acoEDd9ibHkSLMA0hP3JL4jivabDhtqQTpCn38pRdN9
de25PNAl6s+eFPih1ESs0rpPWZnWc8bCRZVKhgLs/OoZOQ8Bpa1Q8hPCaMNvkVgC/NWbcAvC2xmB
QcEVMhjP74ayL88eYwrsyHMbvYYWqE+n7OieU0zv6kIFJ0N1Tr1z21G+VHG+yBar+RVleXm0bMIX
VkCl5tciq1NqYXNet7Q0G98NBB64dCxeE6ZTnV8MUYvgoHF2y2aUDs5ULzyuJtc2NXvAxVcIfNUl
/ICFCQcNmpLbnu4VzIy6OiQNphklevUlQDy2ibRYu1FemT/H6f9j70yaG0W2KPxXHLXHgRDjojvi
WfJQHqvKdk0bAlsypIQAkUzSr+8PJLmEp3pdaOF48bS05ASSnO6555xb6ANUMtkBMi0kuHOJVeM0
9XA3YH4IbCZdbRYM8iLtHc0I4yeprVzWZCOW/74LDQaLKVAo0wr7OFZO65QHqiuwXT+u33xSnnPS
hZ3X7y2MYSQKmEquy4Wo9uUO9ZykqB0nEl0J5ozYzZO6mcX5bTI158mgiORRTr5qEAXqfWjJ+LsT
Cu1AOL3qSCpuf4gxiIoHfTb7zK6Ek8GS5f3c1PGSTXyVN4qr+OQ8thwcfbI8QVBFrmqgmJzIvIWb
9S4V2DfyQNYV6w5jOBCTM7NyaySrj5cOiB2roZ9imjCglHXvZlX1Xc0K52tq5Shz7RzQ5xBmBs7J
GQaexQHQDUUtNUOJf7g9Hf/gaq4MrEWYnmSkXvB8yg0XwY2mk65NQyaA2qsSeTwVGUsQq3Gt+UG7
oFTEUVJOOMKZJE5vikRn6ueBMT/RK5TRJ0ZvisAvYdjWmEedPg6jEBuauc95LsBEvwc/I66pjxJN
DzihnTwskkI/kIWFSiy0MnkYTfRyPLPLuY8jq2J8c0yX6t+BI0/ga4ERR5VPZYWwNwnuZJF5k8QA
fNKF7w9QXM7l95C8mXKNQhshAjY2wNwI9AdmKKaHQVlSYEMxl0cLO0pul3gnWXgG6uUtOeXZF4pE
PWjh8nsFGfAKnlp2wrqKAktzULfpeaKNsMn0R9gdl9d+bvHmmPGTw3kx9R04l+j0KRYlpnhqhdI6
RdInY1xcwwQbCpN1fDDNQcFOMqdSz/R5vLiYS8AzE7Uk1kOzaU7+lrcA0ws84asSFZRixhspvKjS
VL9Cch5ezXt6/mUmbMrRxz3SKIUSHgLE9u9ixyzO0CkDyxmuJswDLDEQk+IRBPqOfyKmxiHLBWUR
EHfa+umiLO7cRCmvy8zH8jnP0bEC5f+clib2zmkYkPmbUAHsYI6P96VDuSRclnATUCi1Zh4EhS89
TaCKnFGE9JAaFPkZ7HzFPdAzOUvh3CzEkcJhlqLPPU3DiAt7QDDsMOrfUIY0wQ+xv7xO8F09Vxf5
8jPV7eIDB2usH3mYzclZSKmL00pUlTGwY1VBhe6W9vTSrPBrO8bGV54Q5SrnExxBbtFtaM5AmeZ4
o4P0qlMEMnZ5WbLDP/SKubzIk6Q4rtgIz6KJnOED5wQwk6hF1ofQhloXM6eeGCScLJSBX1jFZ18r
QJUjCtgkjMsw/TGtMgwaF6GB9bHGMgoLwMkG86SIyqE2S3OXRGysXWQW3qkHC2eO+tcOLZ0FsVeO
Y83M3SOHOitH1CDTP+r6HJZSaC5PZG6JL3LWm9/mvYX8StUc/bCo0BYtJwCfU1j4yOeCoE6oTSzo
jaUlBlTIC0bQ2diHMhWaOuJ5EQ51uupTsSROwTvWSgdG7IorTbWqWzUtlQtDZGSKRJ9SG7bSxwwt
SiLjCAtZoxzEmnDkcc7YfXDDoPqW2P3svjRca1SamSmO1MSkeqwMexQCmcShhZzXhtKLVn0uhmmA
dPsEn7kHI6j8T3Iy67PLCZmd1sbOMWQ15LNBJbCZ060Ubwd25ysF1eGhRo2rbOj4nNn9Ze0krQax
hWQv1zP7bJqjI1V0q/gemIs4H1j+cnKlYsmpUs0sCq8iJ6RYD0iw8jmg0u2APVv2qBeE5XCVf61g
YLn6KoL9Pxfqt1woULKt0OZZjc9vi3iG9LiNhDb/86joQ7ZnEPyb4KG1Sg84Y42E4jfLVzgl9SEG
rwQ6GxJUrd1RNehPWKuAGtbUqQ0Qqu6D6VlQ6zH6gSWFUe2/AELbWAtQpGrUegA0hZgdA7DWQfo2
IpCXuH+68/Iyn418/ASD8G6rN14APmsG/C/k4/kFnoSmadUPZ0nFBewJCycE5dzxRHEpHIxaR29f
qgnjW9cCWAFd0RAcYAdlPEUUFjB1Q4Nj8sXECIm9OZoqGpmMBQQrbTo3fspJ5dv3iO7sTD1WE00q
y0EcGgsRnaKjnPuzETJH2/Ih1+iB6ljHVBVUj9kq87HgwCtm53naVERQ2Wk+hqtKCTbO92cmvuDu
zWKeHQHwGKeS9OmnCWwcQQDhzrFRJG/j46peF2bQClMhH1gWfScbGuGMgpXXcwfZeAp9PiL2HHIT
5DiFuUAEgsnGaUqwdruoQjKS7hx5P4zcsDzC3TfsUzwyMyZDo8LXwe7hGPITTjNOVdSBEweAPOlA
tWpFI/Z/yfJskjmBcl2qitCjw37huw4OiPBOs8o9xjdVyOPmjfzPrBrrB6kn9WGTGfmcj9PFl7Fk
n30sdFJ/28D6N/Gf/WgzPV9uaG+8lZO5j/Moq+/AF3Eru8Ls3JoMjy019/tWC6GH13Y+Gv/1oe/s
G8iZLNYZsDQ+/Q97YYwiZPU1FUhZcjAKqwG55rO64FYXvdYJbz/fqjff/k3rCbwRC+qQTTIV99n2
ugryzPL0mHV5oxOeNLHVCfq+BulEs+F7Nh+Wq+1OqFdknO4MQk2gdT4gqFzwHXUCC1a9SHfrBad2
DtNBouv0EB92l3YvmNBzDSJm8irvshdIDzyjKDfD8/mEeHUs6JTPJpBhyK/HArWYtnvBdva5DHx+
5H+rz3sbC9gqc8/dhoK1T+UccOMe9aDWr3q7E+CD4YuPvA0/u/fZCT0Nj8quvQAdXa8LVDkcq17o
BRuVNakKsl6r+VCvne9rWbCaHHa3oWBzsERAQmLoxU5AJ44VIYkG8909PXUZasFsp8fXMFqslewo
Eh6n+/ZMQLKg2zASsPxZdc+76wWwOnO1X62qK/7JBgnNwunjeI3R2ONTbveCZewTxahkwNeLJuf5
9zUTNJ0tsuNYYGuAp4GrQcOfYDg82SAZC3wDPQznhebz/saCzivq2gt9xgLpE5aWF2cEK+/+o3/E
OxsFfVxUOx+TsN0gaQwb6eVdgRNzn3mC8wVcpvrDKHlfc4GzCxUcu62LcLL0RuKOHqv5PD0yN6OA
7RMz5mYu/Isj839xrn4MwwaBCEdNACbG8qU47bUfbEKP59+vw46Po78+1PFV64c1LrS69q/47O/W
WbKJCra+3EQJzXXW/75+wOeXbl1r81SbP56IceoheV00XyzWt3npzQjj/hN6d97Ma8VFTSz3607+
+tC6z633/5uG5fRJuzXLp3O7qVjG7SKmq0Cue8NTL5Ke3Nxi/RqhTzP8urY88ELxEKdPxI2r03bn
tuMwTr1Ry3Z9dXjr3nIUje8zcZ+3ombY9KxLXRsfjkOv9NLxpqW6sylftYPO3kT6e/HDHmhbPrtr
a0odXKU3V30RrH089b01upGJp2LUHt6rQ2PXnjkexwhh2y2vQpKuLZ/Q40Jsnr0Z3v2GLdu14Y8j
L2gNwJ5u9TjCdG43DEUUi/aMXEXqnZuORuJJKWSCc5tDf+eW47L98nCYYovr2uzZ87UJUugO5ssZ
d5bfTxebW2zGRb39bv7w55PkPMbi4lk3O0Q83du+8ETUWj1gF+xie7nwSDx60Whzh3V3aFjc7+AV
XnhSevdkU8dZ1hrT8Cf1XXSJuA+E77VxXgAXQqquo+9CsBfIOGuNbApuNNURt/DmPzkoXAhJnRsp
kqS1NmkQ23cwHevWXyvr2PXGXy+n3rHly/Fd6j05PQEy40/Q+U1ejguvvW+tEeCuQ6SuAHPizRIZ
iPa2TvvODmZP3f7pOJXj1koFRtHbUeOvl6/p/DbLvR9xOt28vGZJWWErnTsdw/Ngb+ClMTtle3JS
omUHu8Nlc4GhN30696HYgpJ2vf+rQLQODmuwpXOz05ATSTuqoWlnB4vsFXU/n6bSGmik6z1/GkdR
XfzdexImoA7RdnDfX4J4NN77KJ/tbVSC2cGLvP5t+ZmOk2h1gecDsa5us4N45IbeH0s5bh0p+kgb
AH26vtmbcdWOKtdgUtd2X3N+7tjTb9jHdm35JYsfmPw7GH/fPPYdrPHbU3ONV3Xt6N/6E3Xsl29v
6R+7tv06n+jNll9Cmh4T18/xp01W/qV/a4Nr9S/uw7GX/v0PAAAA//8=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700">
              <a:solidFill>
                <a:schemeClr val="bg1"/>
              </a:solidFill>
            </a:defRPr>
          </a:pPr>
          <a:endParaRPr lang="en-US" sz="7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png"/><Relationship Id="rId7"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133349</xdr:rowOff>
    </xdr:from>
    <xdr:to>
      <xdr:col>19</xdr:col>
      <xdr:colOff>79375</xdr:colOff>
      <xdr:row>50</xdr:row>
      <xdr:rowOff>-1</xdr:rowOff>
    </xdr:to>
    <xdr:sp macro="" textlink="">
      <xdr:nvSpPr>
        <xdr:cNvPr id="2" name="Rectangle: Rounded Corners 1">
          <a:extLst>
            <a:ext uri="{FF2B5EF4-FFF2-40B4-BE49-F238E27FC236}">
              <a16:creationId xmlns:a16="http://schemas.microsoft.com/office/drawing/2014/main" id="{6D2A7D7A-506E-41C3-B4BE-113F227D1867}"/>
            </a:ext>
          </a:extLst>
        </xdr:cNvPr>
        <xdr:cNvSpPr/>
      </xdr:nvSpPr>
      <xdr:spPr>
        <a:xfrm>
          <a:off x="57150" y="133349"/>
          <a:ext cx="12464256" cy="9788525"/>
        </a:xfrm>
        <a:prstGeom prst="roundRect">
          <a:avLst>
            <a:gd name="adj" fmla="val 0"/>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120135</xdr:colOff>
      <xdr:row>1</xdr:row>
      <xdr:rowOff>82550</xdr:rowOff>
    </xdr:from>
    <xdr:to>
      <xdr:col>2</xdr:col>
      <xdr:colOff>114300</xdr:colOff>
      <xdr:row>4</xdr:row>
      <xdr:rowOff>69850</xdr:rowOff>
    </xdr:to>
    <xdr:sp macro="" textlink="">
      <xdr:nvSpPr>
        <xdr:cNvPr id="3" name="Rectangle: Rounded Corners 2">
          <a:extLst>
            <a:ext uri="{FF2B5EF4-FFF2-40B4-BE49-F238E27FC236}">
              <a16:creationId xmlns:a16="http://schemas.microsoft.com/office/drawing/2014/main" id="{950A8291-AB17-4F83-8115-7BEC68EEEECD}"/>
            </a:ext>
          </a:extLst>
        </xdr:cNvPr>
        <xdr:cNvSpPr/>
      </xdr:nvSpPr>
      <xdr:spPr>
        <a:xfrm>
          <a:off x="120135" y="279915"/>
          <a:ext cx="1315651" cy="579394"/>
        </a:xfrm>
        <a:prstGeom prst="roundRect">
          <a:avLst>
            <a:gd name="adj" fmla="val 1117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accent3">
                  <a:lumMod val="20000"/>
                  <a:lumOff val="80000"/>
                </a:schemeClr>
              </a:solidFill>
            </a:rPr>
            <a:t>RI IT</a:t>
          </a:r>
        </a:p>
      </xdr:txBody>
    </xdr:sp>
    <xdr:clientData/>
  </xdr:twoCellAnchor>
  <xdr:twoCellAnchor>
    <xdr:from>
      <xdr:col>2</xdr:col>
      <xdr:colOff>190500</xdr:colOff>
      <xdr:row>1</xdr:row>
      <xdr:rowOff>114300</xdr:rowOff>
    </xdr:from>
    <xdr:to>
      <xdr:col>13</xdr:col>
      <xdr:colOff>381000</xdr:colOff>
      <xdr:row>3</xdr:row>
      <xdr:rowOff>177800</xdr:rowOff>
    </xdr:to>
    <xdr:sp macro="" textlink="">
      <xdr:nvSpPr>
        <xdr:cNvPr id="4" name="Rectangle: Rounded Corners 3">
          <a:extLst>
            <a:ext uri="{FF2B5EF4-FFF2-40B4-BE49-F238E27FC236}">
              <a16:creationId xmlns:a16="http://schemas.microsoft.com/office/drawing/2014/main" id="{3A27BE02-50BA-45ED-9D25-A8AF490EF874}"/>
            </a:ext>
          </a:extLst>
        </xdr:cNvPr>
        <xdr:cNvSpPr/>
      </xdr:nvSpPr>
      <xdr:spPr>
        <a:xfrm>
          <a:off x="1511300" y="311150"/>
          <a:ext cx="7454900" cy="457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Sales</a:t>
          </a:r>
          <a:r>
            <a:rPr lang="en-US" sz="2800" baseline="0"/>
            <a:t> and Profit Dashboard</a:t>
          </a:r>
          <a:endParaRPr lang="en-US" sz="2800"/>
        </a:p>
      </xdr:txBody>
    </xdr:sp>
    <xdr:clientData/>
  </xdr:twoCellAnchor>
  <xdr:twoCellAnchor>
    <xdr:from>
      <xdr:col>0</xdr:col>
      <xdr:colOff>68649</xdr:colOff>
      <xdr:row>4</xdr:row>
      <xdr:rowOff>107950</xdr:rowOff>
    </xdr:from>
    <xdr:to>
      <xdr:col>2</xdr:col>
      <xdr:colOff>51486</xdr:colOff>
      <xdr:row>36</xdr:row>
      <xdr:rowOff>57150</xdr:rowOff>
    </xdr:to>
    <xdr:sp macro="" textlink="">
      <xdr:nvSpPr>
        <xdr:cNvPr id="5" name="Rectangle: Rounded Corners 4">
          <a:extLst>
            <a:ext uri="{FF2B5EF4-FFF2-40B4-BE49-F238E27FC236}">
              <a16:creationId xmlns:a16="http://schemas.microsoft.com/office/drawing/2014/main" id="{BA1F59BA-0A05-4F15-AA6C-EE477EE87CD1}"/>
            </a:ext>
          </a:extLst>
        </xdr:cNvPr>
        <xdr:cNvSpPr/>
      </xdr:nvSpPr>
      <xdr:spPr>
        <a:xfrm>
          <a:off x="68649" y="897409"/>
          <a:ext cx="1304323" cy="626487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88900</xdr:colOff>
      <xdr:row>7</xdr:row>
      <xdr:rowOff>69850</xdr:rowOff>
    </xdr:from>
    <xdr:to>
      <xdr:col>5</xdr:col>
      <xdr:colOff>533400</xdr:colOff>
      <xdr:row>20</xdr:row>
      <xdr:rowOff>63500</xdr:rowOff>
    </xdr:to>
    <xdr:sp macro="" textlink="">
      <xdr:nvSpPr>
        <xdr:cNvPr id="6" name="Rectangle: Rounded Corners 5">
          <a:extLst>
            <a:ext uri="{FF2B5EF4-FFF2-40B4-BE49-F238E27FC236}">
              <a16:creationId xmlns:a16="http://schemas.microsoft.com/office/drawing/2014/main" id="{720FA40D-7D40-4CD3-B799-AA5A775C6355}"/>
            </a:ext>
          </a:extLst>
        </xdr:cNvPr>
        <xdr:cNvSpPr/>
      </xdr:nvSpPr>
      <xdr:spPr>
        <a:xfrm>
          <a:off x="1409032" y="1473534"/>
          <a:ext cx="2424697" cy="260049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609600</xdr:colOff>
      <xdr:row>4</xdr:row>
      <xdr:rowOff>57150</xdr:rowOff>
    </xdr:from>
    <xdr:to>
      <xdr:col>10</xdr:col>
      <xdr:colOff>63500</xdr:colOff>
      <xdr:row>20</xdr:row>
      <xdr:rowOff>101600</xdr:rowOff>
    </xdr:to>
    <xdr:sp macro="" textlink="">
      <xdr:nvSpPr>
        <xdr:cNvPr id="7" name="Rectangle: Rounded Corners 6">
          <a:extLst>
            <a:ext uri="{FF2B5EF4-FFF2-40B4-BE49-F238E27FC236}">
              <a16:creationId xmlns:a16="http://schemas.microsoft.com/office/drawing/2014/main" id="{E57A3BF9-26E9-49BB-B2A8-98BE3BAC0777}"/>
            </a:ext>
          </a:extLst>
        </xdr:cNvPr>
        <xdr:cNvSpPr/>
      </xdr:nvSpPr>
      <xdr:spPr>
        <a:xfrm>
          <a:off x="3911600" y="844550"/>
          <a:ext cx="2755900" cy="3194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209550</xdr:colOff>
      <xdr:row>4</xdr:row>
      <xdr:rowOff>88900</xdr:rowOff>
    </xdr:from>
    <xdr:to>
      <xdr:col>13</xdr:col>
      <xdr:colOff>463550</xdr:colOff>
      <xdr:row>12</xdr:row>
      <xdr:rowOff>19050</xdr:rowOff>
    </xdr:to>
    <xdr:sp macro="" textlink="">
      <xdr:nvSpPr>
        <xdr:cNvPr id="8" name="Rectangle: Rounded Corners 7">
          <a:extLst>
            <a:ext uri="{FF2B5EF4-FFF2-40B4-BE49-F238E27FC236}">
              <a16:creationId xmlns:a16="http://schemas.microsoft.com/office/drawing/2014/main" id="{B71E6707-1440-45FD-AD1F-A2894F30D6FD}"/>
            </a:ext>
          </a:extLst>
        </xdr:cNvPr>
        <xdr:cNvSpPr/>
      </xdr:nvSpPr>
      <xdr:spPr>
        <a:xfrm>
          <a:off x="6797675" y="882650"/>
          <a:ext cx="2230438" cy="15176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107950</xdr:colOff>
      <xdr:row>21</xdr:row>
      <xdr:rowOff>0</xdr:rowOff>
    </xdr:from>
    <xdr:to>
      <xdr:col>6</xdr:col>
      <xdr:colOff>133350</xdr:colOff>
      <xdr:row>35</xdr:row>
      <xdr:rowOff>114300</xdr:rowOff>
    </xdr:to>
    <xdr:sp macro="" textlink="">
      <xdr:nvSpPr>
        <xdr:cNvPr id="9" name="Rectangle: Rounded Corners 8">
          <a:extLst>
            <a:ext uri="{FF2B5EF4-FFF2-40B4-BE49-F238E27FC236}">
              <a16:creationId xmlns:a16="http://schemas.microsoft.com/office/drawing/2014/main" id="{D94A4290-DFA5-4323-8C6D-F104950D7071}"/>
            </a:ext>
          </a:extLst>
        </xdr:cNvPr>
        <xdr:cNvSpPr/>
      </xdr:nvSpPr>
      <xdr:spPr>
        <a:xfrm>
          <a:off x="1428750" y="4133850"/>
          <a:ext cx="2667000" cy="2870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216478</xdr:colOff>
      <xdr:row>21</xdr:row>
      <xdr:rowOff>64944</xdr:rowOff>
    </xdr:from>
    <xdr:to>
      <xdr:col>14</xdr:col>
      <xdr:colOff>115455</xdr:colOff>
      <xdr:row>35</xdr:row>
      <xdr:rowOff>108239</xdr:rowOff>
    </xdr:to>
    <xdr:sp macro="" textlink="">
      <xdr:nvSpPr>
        <xdr:cNvPr id="10" name="Rectangle: Rounded Corners 9">
          <a:extLst>
            <a:ext uri="{FF2B5EF4-FFF2-40B4-BE49-F238E27FC236}">
              <a16:creationId xmlns:a16="http://schemas.microsoft.com/office/drawing/2014/main" id="{89F25810-4DE7-4343-B360-669A11D3C33E}"/>
            </a:ext>
          </a:extLst>
        </xdr:cNvPr>
        <xdr:cNvSpPr/>
      </xdr:nvSpPr>
      <xdr:spPr>
        <a:xfrm>
          <a:off x="4199660" y="4156364"/>
          <a:ext cx="5209886" cy="277090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152400</xdr:colOff>
      <xdr:row>4</xdr:row>
      <xdr:rowOff>50800</xdr:rowOff>
    </xdr:from>
    <xdr:to>
      <xdr:col>3</xdr:col>
      <xdr:colOff>520700</xdr:colOff>
      <xdr:row>7</xdr:row>
      <xdr:rowOff>0</xdr:rowOff>
    </xdr:to>
    <xdr:sp macro="" textlink="">
      <xdr:nvSpPr>
        <xdr:cNvPr id="17" name="Rectangle: Rounded Corners 16">
          <a:extLst>
            <a:ext uri="{FF2B5EF4-FFF2-40B4-BE49-F238E27FC236}">
              <a16:creationId xmlns:a16="http://schemas.microsoft.com/office/drawing/2014/main" id="{704A3954-3938-4788-A325-D0579B57DEC7}"/>
            </a:ext>
          </a:extLst>
        </xdr:cNvPr>
        <xdr:cNvSpPr/>
      </xdr:nvSpPr>
      <xdr:spPr>
        <a:xfrm>
          <a:off x="1473200" y="838200"/>
          <a:ext cx="1028700" cy="539750"/>
        </a:xfrm>
        <a:prstGeom prst="roundRect">
          <a:avLst>
            <a:gd name="adj" fmla="val 1117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chemeClr val="accent3">
                  <a:lumMod val="20000"/>
                  <a:lumOff val="80000"/>
                </a:schemeClr>
              </a:solidFill>
            </a:rPr>
            <a:t>Total Profit</a:t>
          </a:r>
        </a:p>
        <a:p>
          <a:pPr algn="ctr"/>
          <a:r>
            <a:rPr lang="en-US" sz="1100" b="0" i="0" u="none" strike="noStrike">
              <a:solidFill>
                <a:schemeClr val="lt1"/>
              </a:solidFill>
              <a:effectLst/>
              <a:latin typeface="+mn-lt"/>
              <a:ea typeface="+mn-ea"/>
              <a:cs typeface="+mn-cs"/>
            </a:rPr>
            <a:t>$4275</a:t>
          </a:r>
          <a:r>
            <a:rPr lang="en-US" sz="1000"/>
            <a:t> </a:t>
          </a:r>
          <a:endParaRPr lang="en-US" sz="1000">
            <a:solidFill>
              <a:schemeClr val="accent3">
                <a:lumMod val="20000"/>
                <a:lumOff val="80000"/>
              </a:schemeClr>
            </a:solidFill>
          </a:endParaRPr>
        </a:p>
      </xdr:txBody>
    </xdr:sp>
    <xdr:clientData/>
  </xdr:twoCellAnchor>
  <xdr:twoCellAnchor>
    <xdr:from>
      <xdr:col>3</xdr:col>
      <xdr:colOff>565150</xdr:colOff>
      <xdr:row>4</xdr:row>
      <xdr:rowOff>50800</xdr:rowOff>
    </xdr:from>
    <xdr:to>
      <xdr:col>5</xdr:col>
      <xdr:colOff>450850</xdr:colOff>
      <xdr:row>6</xdr:row>
      <xdr:rowOff>184150</xdr:rowOff>
    </xdr:to>
    <xdr:sp macro="" textlink="">
      <xdr:nvSpPr>
        <xdr:cNvPr id="18" name="Rectangle: Rounded Corners 17">
          <a:extLst>
            <a:ext uri="{FF2B5EF4-FFF2-40B4-BE49-F238E27FC236}">
              <a16:creationId xmlns:a16="http://schemas.microsoft.com/office/drawing/2014/main" id="{21E13276-C074-40DD-BDC7-FBF42B85ABD0}"/>
            </a:ext>
          </a:extLst>
        </xdr:cNvPr>
        <xdr:cNvSpPr/>
      </xdr:nvSpPr>
      <xdr:spPr>
        <a:xfrm>
          <a:off x="2546350" y="838200"/>
          <a:ext cx="1206500" cy="527050"/>
        </a:xfrm>
        <a:prstGeom prst="roundRect">
          <a:avLst>
            <a:gd name="adj" fmla="val 1117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chemeClr val="accent3">
                  <a:lumMod val="20000"/>
                  <a:lumOff val="80000"/>
                </a:schemeClr>
              </a:solidFill>
            </a:rPr>
            <a:t>Total Sales</a:t>
          </a:r>
        </a:p>
        <a:p>
          <a:pPr algn="ctr"/>
          <a:r>
            <a:rPr lang="en-US" sz="1100" b="0" i="0" u="none" strike="noStrike">
              <a:solidFill>
                <a:schemeClr val="lt1"/>
              </a:solidFill>
              <a:effectLst/>
              <a:latin typeface="+mn-lt"/>
              <a:ea typeface="+mn-ea"/>
              <a:cs typeface="+mn-cs"/>
            </a:rPr>
            <a:t>$24170</a:t>
          </a:r>
          <a:r>
            <a:rPr lang="en-US" sz="1000"/>
            <a:t> </a:t>
          </a:r>
          <a:endParaRPr lang="en-US" sz="1000">
            <a:solidFill>
              <a:schemeClr val="accent3">
                <a:lumMod val="20000"/>
                <a:lumOff val="80000"/>
              </a:schemeClr>
            </a:solidFill>
          </a:endParaRPr>
        </a:p>
      </xdr:txBody>
    </xdr:sp>
    <xdr:clientData/>
  </xdr:twoCellAnchor>
  <xdr:twoCellAnchor>
    <xdr:from>
      <xdr:col>10</xdr:col>
      <xdr:colOff>203200</xdr:colOff>
      <xdr:row>12</xdr:row>
      <xdr:rowOff>88900</xdr:rowOff>
    </xdr:from>
    <xdr:to>
      <xdr:col>13</xdr:col>
      <xdr:colOff>488950</xdr:colOff>
      <xdr:row>20</xdr:row>
      <xdr:rowOff>114300</xdr:rowOff>
    </xdr:to>
    <xdr:sp macro="" textlink="">
      <xdr:nvSpPr>
        <xdr:cNvPr id="19" name="Rectangle: Rounded Corners 18">
          <a:extLst>
            <a:ext uri="{FF2B5EF4-FFF2-40B4-BE49-F238E27FC236}">
              <a16:creationId xmlns:a16="http://schemas.microsoft.com/office/drawing/2014/main" id="{CD51BDD6-D9F5-44B9-B283-D8272E91371C}"/>
            </a:ext>
          </a:extLst>
        </xdr:cNvPr>
        <xdr:cNvSpPr/>
      </xdr:nvSpPr>
      <xdr:spPr>
        <a:xfrm>
          <a:off x="6807200" y="2451100"/>
          <a:ext cx="2266950" cy="1600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101600</xdr:colOff>
      <xdr:row>7</xdr:row>
      <xdr:rowOff>88900</xdr:rowOff>
    </xdr:from>
    <xdr:to>
      <xdr:col>5</xdr:col>
      <xdr:colOff>565150</xdr:colOff>
      <xdr:row>19</xdr:row>
      <xdr:rowOff>12700</xdr:rowOff>
    </xdr:to>
    <xdr:graphicFrame macro="">
      <xdr:nvGraphicFramePr>
        <xdr:cNvPr id="25" name="Chart 24">
          <a:extLst>
            <a:ext uri="{FF2B5EF4-FFF2-40B4-BE49-F238E27FC236}">
              <a16:creationId xmlns:a16="http://schemas.microsoft.com/office/drawing/2014/main" id="{06A0C7EA-387E-4076-A842-7B6EB3EA9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609600</xdr:colOff>
      <xdr:row>5</xdr:row>
      <xdr:rowOff>69850</xdr:rowOff>
    </xdr:from>
    <xdr:to>
      <xdr:col>4</xdr:col>
      <xdr:colOff>286512</xdr:colOff>
      <xdr:row>6</xdr:row>
      <xdr:rowOff>101060</xdr:rowOff>
    </xdr:to>
    <xdr:pic>
      <xdr:nvPicPr>
        <xdr:cNvPr id="29" name="Picture 28">
          <a:extLst>
            <a:ext uri="{FF2B5EF4-FFF2-40B4-BE49-F238E27FC236}">
              <a16:creationId xmlns:a16="http://schemas.microsoft.com/office/drawing/2014/main" id="{503C8D32-7C98-47BD-AF7E-3147A6E20E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90800" y="1054100"/>
          <a:ext cx="337312" cy="228060"/>
        </a:xfrm>
        <a:prstGeom prst="rect">
          <a:avLst/>
        </a:prstGeom>
        <a:solidFill>
          <a:schemeClr val="bg2"/>
        </a:solidFill>
      </xdr:spPr>
    </xdr:pic>
    <xdr:clientData/>
  </xdr:twoCellAnchor>
  <xdr:twoCellAnchor editAs="oneCell">
    <xdr:from>
      <xdr:col>2</xdr:col>
      <xdr:colOff>165100</xdr:colOff>
      <xdr:row>5</xdr:row>
      <xdr:rowOff>69850</xdr:rowOff>
    </xdr:from>
    <xdr:to>
      <xdr:col>2</xdr:col>
      <xdr:colOff>469900</xdr:colOff>
      <xdr:row>6</xdr:row>
      <xdr:rowOff>177800</xdr:rowOff>
    </xdr:to>
    <xdr:pic>
      <xdr:nvPicPr>
        <xdr:cNvPr id="32" name="Picture 31">
          <a:extLst>
            <a:ext uri="{FF2B5EF4-FFF2-40B4-BE49-F238E27FC236}">
              <a16:creationId xmlns:a16="http://schemas.microsoft.com/office/drawing/2014/main" id="{C370AAC3-D009-453E-A379-0E2B8393719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85900" y="1054100"/>
          <a:ext cx="304800" cy="304800"/>
        </a:xfrm>
        <a:prstGeom prst="rect">
          <a:avLst/>
        </a:prstGeom>
      </xdr:spPr>
    </xdr:pic>
    <xdr:clientData/>
  </xdr:twoCellAnchor>
  <xdr:twoCellAnchor>
    <xdr:from>
      <xdr:col>6</xdr:col>
      <xdr:colOff>6350</xdr:colOff>
      <xdr:row>5</xdr:row>
      <xdr:rowOff>0</xdr:rowOff>
    </xdr:from>
    <xdr:to>
      <xdr:col>10</xdr:col>
      <xdr:colOff>31750</xdr:colOff>
      <xdr:row>19</xdr:row>
      <xdr:rowOff>158750</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107F3BE7-3B38-4B91-BA98-78401A7A51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968750" y="984250"/>
              <a:ext cx="2667000" cy="2914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209550</xdr:colOff>
      <xdr:row>4</xdr:row>
      <xdr:rowOff>12700</xdr:rowOff>
    </xdr:from>
    <xdr:to>
      <xdr:col>13</xdr:col>
      <xdr:colOff>450850</xdr:colOff>
      <xdr:row>12</xdr:row>
      <xdr:rowOff>44450</xdr:rowOff>
    </xdr:to>
    <xdr:graphicFrame macro="">
      <xdr:nvGraphicFramePr>
        <xdr:cNvPr id="23" name="Chart 22">
          <a:extLst>
            <a:ext uri="{FF2B5EF4-FFF2-40B4-BE49-F238E27FC236}">
              <a16:creationId xmlns:a16="http://schemas.microsoft.com/office/drawing/2014/main" id="{6DA4AF0A-741C-44AF-906F-01E0DD8EA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272185</xdr:colOff>
      <xdr:row>12</xdr:row>
      <xdr:rowOff>51955</xdr:rowOff>
    </xdr:from>
    <xdr:to>
      <xdr:col>13</xdr:col>
      <xdr:colOff>405535</xdr:colOff>
      <xdr:row>20</xdr:row>
      <xdr:rowOff>58305</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D2DF9630-ACD8-4451-A72A-E00742D70F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910821" y="2389910"/>
              <a:ext cx="2124941" cy="15649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88900</xdr:colOff>
      <xdr:row>21</xdr:row>
      <xdr:rowOff>120650</xdr:rowOff>
    </xdr:from>
    <xdr:to>
      <xdr:col>6</xdr:col>
      <xdr:colOff>120650</xdr:colOff>
      <xdr:row>35</xdr:row>
      <xdr:rowOff>38100</xdr:rowOff>
    </xdr:to>
    <xdr:graphicFrame macro="">
      <xdr:nvGraphicFramePr>
        <xdr:cNvPr id="26" name="Chart 25">
          <a:extLst>
            <a:ext uri="{FF2B5EF4-FFF2-40B4-BE49-F238E27FC236}">
              <a16:creationId xmlns:a16="http://schemas.microsoft.com/office/drawing/2014/main" id="{C8AE00FC-B713-45F4-9A55-D2298322B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310285</xdr:colOff>
      <xdr:row>21</xdr:row>
      <xdr:rowOff>64944</xdr:rowOff>
    </xdr:from>
    <xdr:to>
      <xdr:col>14</xdr:col>
      <xdr:colOff>28864</xdr:colOff>
      <xdr:row>35</xdr:row>
      <xdr:rowOff>57727</xdr:rowOff>
    </xdr:to>
    <xdr:graphicFrame macro="">
      <xdr:nvGraphicFramePr>
        <xdr:cNvPr id="21" name="Chart 20">
          <a:extLst>
            <a:ext uri="{FF2B5EF4-FFF2-40B4-BE49-F238E27FC236}">
              <a16:creationId xmlns:a16="http://schemas.microsoft.com/office/drawing/2014/main" id="{97CDD983-8134-4E88-8E27-91C0CC410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102972</xdr:colOff>
      <xdr:row>4</xdr:row>
      <xdr:rowOff>180203</xdr:rowOff>
    </xdr:from>
    <xdr:to>
      <xdr:col>2</xdr:col>
      <xdr:colOff>25743</xdr:colOff>
      <xdr:row>11</xdr:row>
      <xdr:rowOff>138549</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0E891B00-31FF-4C53-B662-ACD2B1E78F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2972" y="951274"/>
              <a:ext cx="1238128" cy="1307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51485</xdr:colOff>
      <xdr:row>11</xdr:row>
      <xdr:rowOff>180203</xdr:rowOff>
    </xdr:from>
    <xdr:to>
      <xdr:col>2</xdr:col>
      <xdr:colOff>34324</xdr:colOff>
      <xdr:row>18</xdr:row>
      <xdr:rowOff>163285</xdr:rowOff>
    </xdr:to>
    <mc:AlternateContent xmlns:mc="http://schemas.openxmlformats.org/markup-compatibility/2006">
      <mc:Choice xmlns:a14="http://schemas.microsoft.com/office/drawing/2010/main" Requires="a14">
        <xdr:graphicFrame macro="">
          <xdr:nvGraphicFramePr>
            <xdr:cNvPr id="27" name="ProductName">
              <a:extLst>
                <a:ext uri="{FF2B5EF4-FFF2-40B4-BE49-F238E27FC236}">
                  <a16:creationId xmlns:a16="http://schemas.microsoft.com/office/drawing/2014/main" id="{BD6A9982-DAB1-48D3-9D09-A908A815422E}"/>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51485" y="2300649"/>
              <a:ext cx="1298196" cy="1332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77229</xdr:colOff>
      <xdr:row>18</xdr:row>
      <xdr:rowOff>185182</xdr:rowOff>
    </xdr:from>
    <xdr:to>
      <xdr:col>2</xdr:col>
      <xdr:colOff>42905</xdr:colOff>
      <xdr:row>25</xdr:row>
      <xdr:rowOff>94391</xdr:rowOff>
    </xdr:to>
    <mc:AlternateContent xmlns:mc="http://schemas.openxmlformats.org/markup-compatibility/2006">
      <mc:Choice xmlns:a14="http://schemas.microsoft.com/office/drawing/2010/main" Requires="a14">
        <xdr:graphicFrame macro="">
          <xdr:nvGraphicFramePr>
            <xdr:cNvPr id="28" name="Year">
              <a:extLst>
                <a:ext uri="{FF2B5EF4-FFF2-40B4-BE49-F238E27FC236}">
                  <a16:creationId xmlns:a16="http://schemas.microsoft.com/office/drawing/2014/main" id="{62D7D4DC-59F1-4343-B7B1-B61363FFB23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7229" y="3655003"/>
              <a:ext cx="1281033" cy="1258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34324</xdr:colOff>
      <xdr:row>25</xdr:row>
      <xdr:rowOff>145878</xdr:rowOff>
    </xdr:from>
    <xdr:to>
      <xdr:col>2</xdr:col>
      <xdr:colOff>34325</xdr:colOff>
      <xdr:row>36</xdr:row>
      <xdr:rowOff>0</xdr:rowOff>
    </xdr:to>
    <mc:AlternateContent xmlns:mc="http://schemas.openxmlformats.org/markup-compatibility/2006">
      <mc:Choice xmlns:a14="http://schemas.microsoft.com/office/drawing/2010/main" Requires="a14">
        <xdr:graphicFrame macro="">
          <xdr:nvGraphicFramePr>
            <xdr:cNvPr id="30" name="Month">
              <a:extLst>
                <a:ext uri="{FF2B5EF4-FFF2-40B4-BE49-F238E27FC236}">
                  <a16:creationId xmlns:a16="http://schemas.microsoft.com/office/drawing/2014/main" id="{933F8E12-A132-4907-A881-395570C1F83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4324" y="4965074"/>
              <a:ext cx="1315358" cy="1974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refreshedDate="46074.555942129628" createdVersion="7" refreshedVersion="7" minRefreshableVersion="3" recordCount="30" xr:uid="{B93CCD76-C3AF-4D24-BD71-4853736A87DF}">
  <cacheSource type="worksheet">
    <worksheetSource name="Table1"/>
  </cacheSource>
  <cacheFields count="11">
    <cacheField name="SalesID" numFmtId="0">
      <sharedItems containsSemiMixedTypes="0" containsString="0" containsNumber="1" containsInteger="1" minValue="1" maxValue="30"/>
    </cacheField>
    <cacheField name="ProductName" numFmtId="0">
      <sharedItems count="30">
        <s v="Office Chair"/>
        <s v="Laptop"/>
        <s v="Printer Paper"/>
        <s v="Desk"/>
        <s v="Monitor"/>
        <s v="Stapler"/>
        <s v="Smartphone"/>
        <s v="Bookshelf"/>
        <s v="Notebooks"/>
        <s v="Tablet"/>
        <s v="Coffee Table"/>
        <s v="Markers"/>
        <s v="Headphones"/>
        <s v="Filing Cabinet"/>
        <s v="Envelopes"/>
        <s v="Router"/>
        <s v="Conference Table"/>
        <s v="Sticky Notes"/>
        <s v="Keyboard"/>
        <s v="Office Sofa"/>
        <s v="Toner Cartridge"/>
        <s v="External Hard Drive"/>
        <s v="Reception Desk"/>
        <s v="Paper Clips"/>
        <s v="Webcam"/>
        <s v="Storage Cabinet"/>
        <s v="Server"/>
        <s v="Workstation"/>
        <s v="Desk Organizer"/>
        <s v="Smartwatch"/>
      </sharedItems>
    </cacheField>
    <cacheField name="Category" numFmtId="0">
      <sharedItems count="3">
        <s v="Furniture"/>
        <s v="Technology"/>
        <s v="Office Supplies"/>
      </sharedItems>
    </cacheField>
    <cacheField name="CustomerName" numFmtId="0">
      <sharedItems count="30">
        <s v="Acme Corp"/>
        <s v="John Smith"/>
        <s v="Beta LLC"/>
        <s v="HomeSpace"/>
        <s v="TechWorld"/>
        <s v="OfficeHub"/>
        <s v="Emily Davis"/>
        <s v="Urban Living"/>
        <s v="School Mart"/>
        <s v="Digital Pro"/>
        <s v="Modern Homes"/>
        <s v="Creative Co"/>
        <s v="Sound Ltd"/>
        <s v="Legal Group"/>
        <s v="Mail Services"/>
        <s v="Net Solutions"/>
        <s v="Enterprise Inc"/>
        <s v="Admin Corp"/>
        <s v="Gaming Zone"/>
        <s v="Design Studio"/>
        <s v="PrintWorks"/>
        <s v="DataSafe"/>
        <s v="Clinic Group"/>
        <s v="Supply Depot"/>
        <s v="Media House"/>
        <s v="Warehouse Co"/>
        <s v="Cloud Corp"/>
        <s v="Startup Hub"/>
        <s v="Office Care"/>
        <s v="Fitness Pro"/>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4" maxValue="2026" count="3">
        <n v="2024"/>
        <n v="2025"/>
        <n v="2026"/>
      </sharedItems>
    </cacheField>
    <cacheField name="Quantity" numFmtId="0">
      <sharedItems containsSemiMixedTypes="0" containsString="0" containsNumber="1" containsInteger="1" minValue="1" maxValue="150"/>
    </cacheField>
    <cacheField name="Price" numFmtId="0">
      <sharedItems containsSemiMixedTypes="0" containsString="0" containsNumber="1" containsInteger="1" minValue="3" maxValue="2500"/>
    </cacheField>
    <cacheField name="SalesAmount" numFmtId="0">
      <sharedItems containsSemiMixedTypes="0" containsString="0" containsNumber="1" containsInteger="1" minValue="300" maxValue="2500"/>
    </cacheField>
    <cacheField name="Profit" numFmtId="0">
      <sharedItems containsSemiMixedTypes="0" containsString="0" containsNumber="1" containsInteger="1" minValue="55" maxValue="500"/>
    </cacheField>
    <cacheField name="State" numFmtId="0">
      <sharedItems count="12">
        <s v="California"/>
        <s v="Texas"/>
        <s v="New York"/>
        <s v="Florida"/>
        <s v="Washington"/>
        <s v="Illinois"/>
        <s v="Arizona"/>
        <s v="Colorado"/>
        <s v="Nevada"/>
        <s v="Oregon"/>
        <s v="Georgia"/>
        <s v="Ohio"/>
      </sharedItems>
    </cacheField>
  </cacheFields>
  <extLst>
    <ext xmlns:x14="http://schemas.microsoft.com/office/spreadsheetml/2009/9/main" uri="{725AE2AE-9491-48be-B2B4-4EB974FC3084}">
      <x14:pivotCacheDefinition pivotCacheId="9739534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 refreshedDate="46074.568322106483" backgroundQuery="1" createdVersion="7" refreshedVersion="7" minRefreshableVersion="3" recordCount="0" supportSubquery="1" supportAdvancedDrill="1" xr:uid="{E6E9BA97-9838-462F-8FDC-EBE62AE1EDD6}">
  <cacheSource type="external" connectionId="1"/>
  <cacheFields count="1">
    <cacheField name="[Table1].[CustomerName].[CustomerName]" caption="CustomerName" numFmtId="0" hierarchy="3" level="1">
      <sharedItems count="30">
        <s v="Acme Corp"/>
        <s v="Admin Corp"/>
        <s v="Beta LLC"/>
        <s v="Clinic Group"/>
        <s v="Cloud Corp"/>
        <s v="Creative Co"/>
        <s v="DataSafe"/>
        <s v="Design Studio"/>
        <s v="Digital Pro"/>
        <s v="Emily Davis"/>
        <s v="Enterprise Inc"/>
        <s v="Fitness Pro"/>
        <s v="Gaming Zone"/>
        <s v="HomeSpace"/>
        <s v="John Smith"/>
        <s v="Legal Group"/>
        <s v="Mail Services"/>
        <s v="Media House"/>
        <s v="Modern Homes"/>
        <s v="Net Solutions"/>
        <s v="Office Care"/>
        <s v="OfficeHub"/>
        <s v="PrintWorks"/>
        <s v="School Mart"/>
        <s v="Sound Ltd"/>
        <s v="Startup Hub"/>
        <s v="Supply Depot"/>
        <s v="TechWorld"/>
        <s v="Urban Living"/>
        <s v="Warehouse Co"/>
      </sharedItems>
    </cacheField>
  </cacheFields>
  <cacheHierarchies count="14">
    <cacheHierarchy uniqueName="[Table1].[SalesID]" caption="SalesID" attribute="1" defaultMemberUniqueName="[Table1].[SalesID].[All]" allUniqueName="[Table1].[SalesID].[All]" dimensionUniqueName="[Table1]" displayFolder="" count="0" memberValueDatatype="20" unbalanced="0"/>
    <cacheHierarchy uniqueName="[Table1].[ProductName]" caption="ProductName" attribute="1" defaultMemberUniqueName="[Table1].[ProductName].[All]" allUniqueName="[Table1].[Product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2" memberValueDatatype="130" unbalanced="0">
      <fieldsUsage count="2">
        <fieldUsage x="-1"/>
        <fieldUsage x="0"/>
      </fieldsUsage>
    </cacheHierarchy>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x v="0"/>
    <x v="0"/>
    <x v="0"/>
    <x v="0"/>
    <x v="0"/>
    <n v="5"/>
    <n v="120"/>
    <n v="600"/>
    <n v="90"/>
    <x v="0"/>
  </r>
  <r>
    <n v="2"/>
    <x v="1"/>
    <x v="1"/>
    <x v="1"/>
    <x v="1"/>
    <x v="0"/>
    <n v="2"/>
    <n v="900"/>
    <n v="1800"/>
    <n v="300"/>
    <x v="1"/>
  </r>
  <r>
    <n v="3"/>
    <x v="2"/>
    <x v="2"/>
    <x v="2"/>
    <x v="2"/>
    <x v="0"/>
    <n v="20"/>
    <n v="25"/>
    <n v="500"/>
    <n v="80"/>
    <x v="2"/>
  </r>
  <r>
    <n v="4"/>
    <x v="3"/>
    <x v="0"/>
    <x v="3"/>
    <x v="3"/>
    <x v="0"/>
    <n v="3"/>
    <n v="250"/>
    <n v="750"/>
    <n v="120"/>
    <x v="3"/>
  </r>
  <r>
    <n v="5"/>
    <x v="4"/>
    <x v="1"/>
    <x v="4"/>
    <x v="4"/>
    <x v="0"/>
    <n v="4"/>
    <n v="200"/>
    <n v="800"/>
    <n v="160"/>
    <x v="4"/>
  </r>
  <r>
    <n v="6"/>
    <x v="5"/>
    <x v="2"/>
    <x v="5"/>
    <x v="5"/>
    <x v="0"/>
    <n v="30"/>
    <n v="15"/>
    <n v="450"/>
    <n v="70"/>
    <x v="5"/>
  </r>
  <r>
    <n v="7"/>
    <x v="6"/>
    <x v="1"/>
    <x v="6"/>
    <x v="6"/>
    <x v="0"/>
    <n v="3"/>
    <n v="700"/>
    <n v="2100"/>
    <n v="420"/>
    <x v="0"/>
  </r>
  <r>
    <n v="8"/>
    <x v="7"/>
    <x v="0"/>
    <x v="7"/>
    <x v="7"/>
    <x v="0"/>
    <n v="2"/>
    <n v="180"/>
    <n v="360"/>
    <n v="60"/>
    <x v="6"/>
  </r>
  <r>
    <n v="9"/>
    <x v="8"/>
    <x v="2"/>
    <x v="8"/>
    <x v="8"/>
    <x v="0"/>
    <n v="100"/>
    <n v="5"/>
    <n v="500"/>
    <n v="90"/>
    <x v="1"/>
  </r>
  <r>
    <n v="10"/>
    <x v="9"/>
    <x v="1"/>
    <x v="9"/>
    <x v="9"/>
    <x v="0"/>
    <n v="4"/>
    <n v="350"/>
    <n v="1400"/>
    <n v="210"/>
    <x v="7"/>
  </r>
  <r>
    <n v="11"/>
    <x v="10"/>
    <x v="0"/>
    <x v="10"/>
    <x v="0"/>
    <x v="1"/>
    <n v="2"/>
    <n v="220"/>
    <n v="440"/>
    <n v="75"/>
    <x v="8"/>
  </r>
  <r>
    <n v="12"/>
    <x v="11"/>
    <x v="2"/>
    <x v="11"/>
    <x v="2"/>
    <x v="1"/>
    <n v="50"/>
    <n v="10"/>
    <n v="500"/>
    <n v="85"/>
    <x v="9"/>
  </r>
  <r>
    <n v="13"/>
    <x v="12"/>
    <x v="1"/>
    <x v="12"/>
    <x v="4"/>
    <x v="1"/>
    <n v="10"/>
    <n v="80"/>
    <n v="800"/>
    <n v="140"/>
    <x v="0"/>
  </r>
  <r>
    <n v="14"/>
    <x v="13"/>
    <x v="0"/>
    <x v="13"/>
    <x v="6"/>
    <x v="1"/>
    <n v="1"/>
    <n v="300"/>
    <n v="300"/>
    <n v="55"/>
    <x v="2"/>
  </r>
  <r>
    <n v="15"/>
    <x v="14"/>
    <x v="2"/>
    <x v="14"/>
    <x v="8"/>
    <x v="1"/>
    <n v="40"/>
    <n v="12"/>
    <n v="480"/>
    <n v="65"/>
    <x v="10"/>
  </r>
  <r>
    <n v="16"/>
    <x v="15"/>
    <x v="1"/>
    <x v="15"/>
    <x v="10"/>
    <x v="1"/>
    <n v="3"/>
    <n v="150"/>
    <n v="450"/>
    <n v="90"/>
    <x v="1"/>
  </r>
  <r>
    <n v="17"/>
    <x v="16"/>
    <x v="0"/>
    <x v="16"/>
    <x v="0"/>
    <x v="1"/>
    <n v="1"/>
    <n v="800"/>
    <n v="800"/>
    <n v="150"/>
    <x v="3"/>
  </r>
  <r>
    <n v="18"/>
    <x v="17"/>
    <x v="2"/>
    <x v="17"/>
    <x v="2"/>
    <x v="1"/>
    <n v="60"/>
    <n v="8"/>
    <n v="480"/>
    <n v="70"/>
    <x v="11"/>
  </r>
  <r>
    <n v="19"/>
    <x v="18"/>
    <x v="1"/>
    <x v="18"/>
    <x v="4"/>
    <x v="1"/>
    <n v="12"/>
    <n v="45"/>
    <n v="540"/>
    <n v="95"/>
    <x v="0"/>
  </r>
  <r>
    <n v="20"/>
    <x v="19"/>
    <x v="0"/>
    <x v="19"/>
    <x v="6"/>
    <x v="1"/>
    <n v="1"/>
    <n v="600"/>
    <n v="600"/>
    <n v="110"/>
    <x v="4"/>
  </r>
  <r>
    <n v="21"/>
    <x v="20"/>
    <x v="2"/>
    <x v="20"/>
    <x v="4"/>
    <x v="2"/>
    <n v="6"/>
    <n v="85"/>
    <n v="510"/>
    <n v="100"/>
    <x v="2"/>
  </r>
  <r>
    <n v="22"/>
    <x v="21"/>
    <x v="1"/>
    <x v="21"/>
    <x v="3"/>
    <x v="2"/>
    <n v="5"/>
    <n v="120"/>
    <n v="600"/>
    <n v="120"/>
    <x v="6"/>
  </r>
  <r>
    <n v="23"/>
    <x v="22"/>
    <x v="0"/>
    <x v="22"/>
    <x v="2"/>
    <x v="2"/>
    <n v="1"/>
    <n v="950"/>
    <n v="950"/>
    <n v="180"/>
    <x v="1"/>
  </r>
  <r>
    <n v="24"/>
    <x v="23"/>
    <x v="2"/>
    <x v="23"/>
    <x v="1"/>
    <x v="2"/>
    <n v="150"/>
    <n v="3"/>
    <n v="450"/>
    <n v="60"/>
    <x v="9"/>
  </r>
  <r>
    <n v="25"/>
    <x v="24"/>
    <x v="1"/>
    <x v="24"/>
    <x v="0"/>
    <x v="2"/>
    <n v="8"/>
    <n v="70"/>
    <n v="560"/>
    <n v="95"/>
    <x v="0"/>
  </r>
  <r>
    <n v="26"/>
    <x v="25"/>
    <x v="0"/>
    <x v="25"/>
    <x v="11"/>
    <x v="2"/>
    <n v="2"/>
    <n v="400"/>
    <n v="800"/>
    <n v="140"/>
    <x v="8"/>
  </r>
  <r>
    <n v="27"/>
    <x v="26"/>
    <x v="1"/>
    <x v="26"/>
    <x v="10"/>
    <x v="2"/>
    <n v="1"/>
    <n v="2500"/>
    <n v="2500"/>
    <n v="500"/>
    <x v="4"/>
  </r>
  <r>
    <n v="28"/>
    <x v="27"/>
    <x v="0"/>
    <x v="27"/>
    <x v="9"/>
    <x v="2"/>
    <n v="2"/>
    <n v="700"/>
    <n v="1400"/>
    <n v="240"/>
    <x v="7"/>
  </r>
  <r>
    <n v="29"/>
    <x v="28"/>
    <x v="2"/>
    <x v="28"/>
    <x v="8"/>
    <x v="2"/>
    <n v="25"/>
    <n v="20"/>
    <n v="500"/>
    <n v="85"/>
    <x v="1"/>
  </r>
  <r>
    <n v="30"/>
    <x v="29"/>
    <x v="1"/>
    <x v="29"/>
    <x v="7"/>
    <x v="2"/>
    <n v="5"/>
    <n v="250"/>
    <n v="1250"/>
    <n v="2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42E46-0752-4C44-A449-E19A294D1009}" name="PivotTable6"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A34" firstHeaderRow="1" firstDataRow="1" firstDataCol="1"/>
  <pivotFields count="1">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Visualization-Exercise-RI_secon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2B44A1-0189-4BB3-9574-D6738D16B51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11">
    <pivotField showAll="0"/>
    <pivotField showAll="0">
      <items count="31">
        <item x="7"/>
        <item x="10"/>
        <item x="16"/>
        <item x="3"/>
        <item x="28"/>
        <item x="14"/>
        <item x="21"/>
        <item x="13"/>
        <item x="12"/>
        <item x="18"/>
        <item x="1"/>
        <item x="11"/>
        <item x="4"/>
        <item x="8"/>
        <item x="0"/>
        <item x="19"/>
        <item x="23"/>
        <item x="2"/>
        <item x="22"/>
        <item x="15"/>
        <item x="26"/>
        <item x="6"/>
        <item x="29"/>
        <item x="5"/>
        <item x="17"/>
        <item x="25"/>
        <item x="9"/>
        <item x="20"/>
        <item x="24"/>
        <item x="27"/>
        <item t="default"/>
      </items>
    </pivotField>
    <pivotField showAll="0">
      <items count="4">
        <item x="0"/>
        <item x="2"/>
        <item x="1"/>
        <item t="default"/>
      </items>
    </pivotField>
    <pivotField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dataField="1" showAll="0"/>
    <pivotField showAll="0"/>
    <pivotField showAll="0"/>
  </pivotFields>
  <rowItems count="1">
    <i/>
  </rowItems>
  <colItems count="1">
    <i/>
  </colItems>
  <dataFields count="1">
    <dataField name="Sum of Sales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4D4DC9-1EE0-4FF5-9653-E92D3425625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F4:G8" firstHeaderRow="1" firstDataRow="1" firstDataCol="1"/>
  <pivotFields count="11">
    <pivotField showAll="0"/>
    <pivotField showAll="0">
      <items count="31">
        <item x="7"/>
        <item x="10"/>
        <item x="16"/>
        <item x="3"/>
        <item x="28"/>
        <item x="14"/>
        <item x="21"/>
        <item x="13"/>
        <item x="12"/>
        <item x="18"/>
        <item x="1"/>
        <item x="11"/>
        <item x="4"/>
        <item x="8"/>
        <item x="0"/>
        <item x="19"/>
        <item x="23"/>
        <item x="2"/>
        <item x="22"/>
        <item x="15"/>
        <item x="26"/>
        <item x="6"/>
        <item x="29"/>
        <item x="5"/>
        <item x="17"/>
        <item x="25"/>
        <item x="9"/>
        <item x="20"/>
        <item x="24"/>
        <item x="27"/>
        <item t="default"/>
      </items>
    </pivotField>
    <pivotField axis="axisRow" showAll="0">
      <items count="4">
        <item x="0"/>
        <item x="2"/>
        <item x="1"/>
        <item t="default"/>
      </items>
    </pivotField>
    <pivotField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um of Sales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C4D9C2-D8C0-4E06-ADF8-14455BE514F5}"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4:R17" firstHeaderRow="1" firstDataRow="1" firstDataCol="1"/>
  <pivotFields count="11">
    <pivotField showAll="0"/>
    <pivotField showAll="0">
      <items count="31">
        <item x="7"/>
        <item x="10"/>
        <item x="16"/>
        <item x="3"/>
        <item x="28"/>
        <item x="14"/>
        <item x="21"/>
        <item x="13"/>
        <item x="12"/>
        <item x="18"/>
        <item x="1"/>
        <item x="11"/>
        <item x="4"/>
        <item x="8"/>
        <item x="0"/>
        <item x="19"/>
        <item x="23"/>
        <item x="2"/>
        <item x="22"/>
        <item x="15"/>
        <item x="26"/>
        <item x="6"/>
        <item x="29"/>
        <item x="5"/>
        <item x="17"/>
        <item x="25"/>
        <item x="9"/>
        <item x="20"/>
        <item x="24"/>
        <item x="27"/>
        <item t="default"/>
      </items>
    </pivotField>
    <pivotField showAll="0">
      <items count="4">
        <item x="0"/>
        <item x="2"/>
        <item x="1"/>
        <item t="default"/>
      </items>
    </pivotField>
    <pivotField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dataField="1" showAll="0"/>
    <pivotField showAll="0"/>
    <pivotField axis="axisRow" showAll="0">
      <items count="13">
        <item x="6"/>
        <item x="0"/>
        <item x="7"/>
        <item x="3"/>
        <item x="10"/>
        <item x="5"/>
        <item x="8"/>
        <item x="2"/>
        <item x="11"/>
        <item x="9"/>
        <item x="1"/>
        <item x="4"/>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FC5884-0BF2-4020-9309-5B5F64D307D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1">
    <pivotField showAll="0"/>
    <pivotField showAll="0">
      <items count="31">
        <item x="7"/>
        <item x="10"/>
        <item x="16"/>
        <item x="3"/>
        <item x="28"/>
        <item x="14"/>
        <item x="21"/>
        <item x="13"/>
        <item x="12"/>
        <item x="18"/>
        <item x="1"/>
        <item x="11"/>
        <item x="4"/>
        <item x="8"/>
        <item x="0"/>
        <item x="19"/>
        <item x="23"/>
        <item x="2"/>
        <item x="22"/>
        <item x="15"/>
        <item x="26"/>
        <item x="6"/>
        <item x="29"/>
        <item x="5"/>
        <item x="17"/>
        <item x="25"/>
        <item x="9"/>
        <item x="20"/>
        <item x="24"/>
        <item x="27"/>
        <item t="default"/>
      </items>
    </pivotField>
    <pivotField showAll="0"/>
    <pivotField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dataField="1" showAll="0"/>
    <pivotField showAll="0"/>
    <pivotField showAll="0"/>
  </pivotFields>
  <rowItems count="1">
    <i/>
  </rowItems>
  <colItems count="1">
    <i/>
  </colItems>
  <dataFields count="1">
    <dataField name="Sum of SalesAmount" fld="8" baseField="0" baseItem="0" numFmtId="166"/>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782DDF-A17E-41A9-9A87-5350E80BE006}" name="PivotTable5"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11">
  <location ref="N4:O10" firstHeaderRow="1" firstDataRow="1" firstDataCol="1"/>
  <pivotFields count="11">
    <pivotField showAll="0"/>
    <pivotField showAll="0">
      <items count="31">
        <item x="7"/>
        <item x="10"/>
        <item x="16"/>
        <item x="3"/>
        <item x="28"/>
        <item x="14"/>
        <item x="21"/>
        <item x="13"/>
        <item x="12"/>
        <item x="18"/>
        <item x="1"/>
        <item x="11"/>
        <item x="4"/>
        <item x="8"/>
        <item x="0"/>
        <item x="19"/>
        <item x="23"/>
        <item x="2"/>
        <item x="22"/>
        <item x="15"/>
        <item x="26"/>
        <item x="6"/>
        <item x="29"/>
        <item x="5"/>
        <item x="17"/>
        <item x="25"/>
        <item x="9"/>
        <item x="20"/>
        <item x="24"/>
        <item x="27"/>
        <item t="default"/>
      </items>
    </pivotField>
    <pivotField showAll="0">
      <items count="4">
        <item x="0"/>
        <item x="2"/>
        <item x="1"/>
        <item t="default"/>
      </items>
    </pivotField>
    <pivotField axis="axisRow" showAll="0" measureFilter="1" sortType="ascending">
      <items count="31">
        <item sd="0" x="0"/>
        <item sd="0" x="17"/>
        <item sd="0" x="2"/>
        <item sd="0" x="22"/>
        <item x="26"/>
        <item sd="0" x="11"/>
        <item sd="0" x="21"/>
        <item sd="0" x="19"/>
        <item sd="0" x="9"/>
        <item sd="0" x="6"/>
        <item sd="0" x="16"/>
        <item sd="0" x="29"/>
        <item sd="0" x="18"/>
        <item sd="0" x="3"/>
        <item sd="0" x="1"/>
        <item sd="0" x="13"/>
        <item sd="0" x="14"/>
        <item sd="0" x="24"/>
        <item sd="0" x="10"/>
        <item sd="0" x="15"/>
        <item sd="0" x="28"/>
        <item sd="0" x="5"/>
        <item sd="0" x="20"/>
        <item sd="0" x="8"/>
        <item sd="0" x="12"/>
        <item sd="0" x="27"/>
        <item sd="0" x="23"/>
        <item sd="0" x="4"/>
        <item sd="0" x="7"/>
        <item sd="0" x="25"/>
        <item t="default" sd="0"/>
      </items>
    </pivotField>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dataField="1" showAll="0"/>
    <pivotField showAll="0"/>
    <pivotField showAll="0">
      <items count="13">
        <item sd="0" x="6"/>
        <item sd="0" x="0"/>
        <item sd="0" x="7"/>
        <item sd="0" x="3"/>
        <item sd="0" x="10"/>
        <item sd="0" x="5"/>
        <item sd="0" x="8"/>
        <item sd="0" x="2"/>
        <item sd="0" x="11"/>
        <item sd="0" x="9"/>
        <item sd="0" x="1"/>
        <item sd="0" x="4"/>
        <item t="default" sd="0"/>
      </items>
    </pivotField>
  </pivotFields>
  <rowFields count="1">
    <field x="3"/>
  </rowFields>
  <rowItems count="6">
    <i>
      <x v="4"/>
    </i>
    <i>
      <x v="8"/>
    </i>
    <i>
      <x v="9"/>
    </i>
    <i>
      <x v="14"/>
    </i>
    <i>
      <x v="25"/>
    </i>
    <i t="grand">
      <x/>
    </i>
  </rowItems>
  <colItems count="1">
    <i/>
  </colItems>
  <dataFields count="1">
    <dataField name="Sum of SalesAmount" fld="8" baseField="0" baseItem="0"/>
  </dataFields>
  <formats count="1">
    <format dxfId="54">
      <pivotArea collapsedLevelsAreSubtotals="1" fieldPosition="0">
        <references count="1">
          <reference field="3" count="0"/>
        </references>
      </pivotArea>
    </format>
  </formats>
  <chartFormats count="7">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3" count="1" selected="0">
            <x v="25"/>
          </reference>
        </references>
      </pivotArea>
    </chartFormat>
    <chartFormat chart="2" format="5">
      <pivotArea type="data" outline="0" fieldPosition="0">
        <references count="2">
          <reference field="4294967294" count="1" selected="0">
            <x v="0"/>
          </reference>
          <reference field="3" count="1" selected="0">
            <x v="14"/>
          </reference>
        </references>
      </pivotArea>
    </chartFormat>
    <chartFormat chart="2" format="6">
      <pivotArea type="data" outline="0" fieldPosition="0">
        <references count="2">
          <reference field="4294967294" count="1" selected="0">
            <x v="0"/>
          </reference>
          <reference field="3" count="1" selected="0">
            <x v="9"/>
          </reference>
        </references>
      </pivotArea>
    </chartFormat>
    <chartFormat chart="2" format="7">
      <pivotArea type="data" outline="0" fieldPosition="0">
        <references count="2">
          <reference field="4294967294" count="1" selected="0">
            <x v="0"/>
          </reference>
          <reference field="3" count="1" selected="0">
            <x v="8"/>
          </reference>
        </references>
      </pivotArea>
    </chartFormat>
    <chartFormat chart="2" format="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D6D384-FF01-4D39-97E0-8695819D2AF8}"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W4:X17" firstHeaderRow="1" firstDataRow="1" firstDataCol="1"/>
  <pivotFields count="11">
    <pivotField showAll="0"/>
    <pivotField showAll="0">
      <items count="31">
        <item x="7"/>
        <item x="10"/>
        <item x="16"/>
        <item x="3"/>
        <item x="28"/>
        <item x="14"/>
        <item x="21"/>
        <item x="13"/>
        <item x="12"/>
        <item x="18"/>
        <item x="1"/>
        <item x="11"/>
        <item x="4"/>
        <item x="8"/>
        <item x="0"/>
        <item x="19"/>
        <item x="23"/>
        <item x="2"/>
        <item x="22"/>
        <item x="15"/>
        <item x="26"/>
        <item x="6"/>
        <item x="29"/>
        <item x="5"/>
        <item x="17"/>
        <item x="25"/>
        <item x="9"/>
        <item x="20"/>
        <item x="24"/>
        <item x="27"/>
        <item t="default"/>
      </items>
    </pivotField>
    <pivotField showAll="0">
      <items count="4">
        <item x="0"/>
        <item x="2"/>
        <item x="1"/>
        <item t="default"/>
      </items>
    </pivotField>
    <pivotField showAll="0"/>
    <pivotField axis="axisRow"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dataField="1"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SalesAmount" fld="8" baseField="0" baseItem="0"/>
  </dataFields>
  <chartFormats count="11">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 chart="2" format="7">
      <pivotArea type="data" outline="0" fieldPosition="0">
        <references count="2">
          <reference field="4294967294" count="1" selected="0">
            <x v="0"/>
          </reference>
          <reference field="4" count="1" selected="0">
            <x v="5"/>
          </reference>
        </references>
      </pivotArea>
    </chartFormat>
    <chartFormat chart="2" format="8">
      <pivotArea type="data" outline="0" fieldPosition="0">
        <references count="2">
          <reference field="4294967294" count="1" selected="0">
            <x v="0"/>
          </reference>
          <reference field="4" count="1" selected="0">
            <x v="6"/>
          </reference>
        </references>
      </pivotArea>
    </chartFormat>
    <chartFormat chart="2" format="9">
      <pivotArea type="data" outline="0" fieldPosition="0">
        <references count="2">
          <reference field="4294967294" count="1" selected="0">
            <x v="0"/>
          </reference>
          <reference field="4" count="1" selected="0">
            <x v="7"/>
          </reference>
        </references>
      </pivotArea>
    </chartFormat>
    <chartFormat chart="2" format="10">
      <pivotArea type="data" outline="0" fieldPosition="0">
        <references count="2">
          <reference field="4294967294" count="1" selected="0">
            <x v="0"/>
          </reference>
          <reference field="4" count="1" selected="0">
            <x v="8"/>
          </reference>
        </references>
      </pivotArea>
    </chartFormat>
    <chartFormat chart="2" format="11">
      <pivotArea type="data" outline="0" fieldPosition="0">
        <references count="2">
          <reference field="4294967294" count="1" selected="0">
            <x v="0"/>
          </reference>
          <reference field="4" count="1" selected="0">
            <x v="9"/>
          </reference>
        </references>
      </pivotArea>
    </chartFormat>
    <chartFormat chart="2" format="12">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928984-0C24-49A2-96B7-09D3BA7BCFF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1">
    <pivotField showAll="0"/>
    <pivotField showAll="0">
      <items count="31">
        <item x="7"/>
        <item x="10"/>
        <item x="16"/>
        <item x="3"/>
        <item x="28"/>
        <item x="14"/>
        <item x="21"/>
        <item x="13"/>
        <item x="12"/>
        <item x="18"/>
        <item x="1"/>
        <item x="11"/>
        <item x="4"/>
        <item x="8"/>
        <item x="0"/>
        <item x="19"/>
        <item x="23"/>
        <item x="2"/>
        <item x="22"/>
        <item x="15"/>
        <item x="26"/>
        <item x="6"/>
        <item x="29"/>
        <item x="5"/>
        <item x="17"/>
        <item x="25"/>
        <item x="9"/>
        <item x="20"/>
        <item x="24"/>
        <item x="27"/>
        <item t="default"/>
      </items>
    </pivotField>
    <pivotField showAll="0">
      <items count="4">
        <item x="0"/>
        <item x="2"/>
        <item x="1"/>
        <item t="default"/>
      </items>
    </pivotField>
    <pivotField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dataField="1" showAll="0"/>
    <pivotField showAll="0"/>
  </pivotFields>
  <rowItems count="1">
    <i/>
  </rowItems>
  <colItems count="1">
    <i/>
  </colItems>
  <dataFields count="1">
    <dataField name="Sum of Profit" fld="9" baseField="0" baseItem="0" numFmtId="166"/>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FE020E-9F1A-42D0-A662-A660C4407E1C}"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T4:U35" firstHeaderRow="1" firstDataRow="1" firstDataCol="1"/>
  <pivotFields count="11">
    <pivotField showAll="0"/>
    <pivotField showAll="0">
      <items count="31">
        <item x="7"/>
        <item x="10"/>
        <item x="16"/>
        <item x="3"/>
        <item x="28"/>
        <item x="14"/>
        <item x="21"/>
        <item x="13"/>
        <item x="12"/>
        <item x="18"/>
        <item x="1"/>
        <item x="11"/>
        <item x="4"/>
        <item x="8"/>
        <item x="0"/>
        <item x="19"/>
        <item x="23"/>
        <item x="2"/>
        <item x="22"/>
        <item x="15"/>
        <item x="26"/>
        <item x="6"/>
        <item x="29"/>
        <item x="5"/>
        <item x="17"/>
        <item x="25"/>
        <item x="9"/>
        <item x="20"/>
        <item x="24"/>
        <item x="27"/>
        <item t="default"/>
      </items>
    </pivotField>
    <pivotField showAll="0">
      <items count="4">
        <item x="0"/>
        <item x="2"/>
        <item x="1"/>
        <item t="default"/>
      </items>
    </pivotField>
    <pivotField axis="axisRow" showAll="0">
      <items count="31">
        <item x="0"/>
        <item x="17"/>
        <item x="2"/>
        <item x="22"/>
        <item x="26"/>
        <item x="11"/>
        <item x="21"/>
        <item x="19"/>
        <item x="9"/>
        <item x="6"/>
        <item x="16"/>
        <item x="29"/>
        <item x="18"/>
        <item x="3"/>
        <item x="1"/>
        <item x="13"/>
        <item x="14"/>
        <item x="24"/>
        <item x="10"/>
        <item x="15"/>
        <item x="28"/>
        <item x="5"/>
        <item x="20"/>
        <item x="8"/>
        <item x="12"/>
        <item x="27"/>
        <item x="23"/>
        <item x="4"/>
        <item x="7"/>
        <item x="25"/>
        <item t="default"/>
      </items>
    </pivotField>
    <pivotField showAll="0">
      <items count="13">
        <item x="0"/>
        <item x="1"/>
        <item x="2"/>
        <item x="3"/>
        <item x="4"/>
        <item x="5"/>
        <item x="6"/>
        <item x="7"/>
        <item x="8"/>
        <item x="9"/>
        <item x="10"/>
        <item x="11"/>
        <item t="default"/>
      </items>
    </pivotField>
    <pivotField dataField="1" showAll="0">
      <items count="4">
        <item x="0"/>
        <item x="1"/>
        <item x="2"/>
        <item t="default"/>
      </items>
    </pivotField>
    <pivotField showAll="0"/>
    <pivotField showAll="0"/>
    <pivotField showAll="0"/>
    <pivotField showAll="0"/>
    <pivotField showAll="0"/>
  </pivotFields>
  <rowFields count="1">
    <field x="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Year" fld="5" baseField="0" baseItem="0"/>
  </dataFields>
  <chartFormats count="31">
    <chartFormat chart="18" format="32" series="1">
      <pivotArea type="data" outline="0" fieldPosition="0">
        <references count="1">
          <reference field="4294967294" count="1" selected="0">
            <x v="0"/>
          </reference>
        </references>
      </pivotArea>
    </chartFormat>
    <chartFormat chart="18" format="33">
      <pivotArea type="data" outline="0" fieldPosition="0">
        <references count="2">
          <reference field="4294967294" count="1" selected="0">
            <x v="0"/>
          </reference>
          <reference field="3" count="1" selected="0">
            <x v="0"/>
          </reference>
        </references>
      </pivotArea>
    </chartFormat>
    <chartFormat chart="18" format="34">
      <pivotArea type="data" outline="0" fieldPosition="0">
        <references count="2">
          <reference field="4294967294" count="1" selected="0">
            <x v="0"/>
          </reference>
          <reference field="3" count="1" selected="0">
            <x v="1"/>
          </reference>
        </references>
      </pivotArea>
    </chartFormat>
    <chartFormat chart="18" format="35">
      <pivotArea type="data" outline="0" fieldPosition="0">
        <references count="2">
          <reference field="4294967294" count="1" selected="0">
            <x v="0"/>
          </reference>
          <reference field="3" count="1" selected="0">
            <x v="2"/>
          </reference>
        </references>
      </pivotArea>
    </chartFormat>
    <chartFormat chart="18" format="36">
      <pivotArea type="data" outline="0" fieldPosition="0">
        <references count="2">
          <reference field="4294967294" count="1" selected="0">
            <x v="0"/>
          </reference>
          <reference field="3" count="1" selected="0">
            <x v="3"/>
          </reference>
        </references>
      </pivotArea>
    </chartFormat>
    <chartFormat chart="18" format="37">
      <pivotArea type="data" outline="0" fieldPosition="0">
        <references count="2">
          <reference field="4294967294" count="1" selected="0">
            <x v="0"/>
          </reference>
          <reference field="3" count="1" selected="0">
            <x v="4"/>
          </reference>
        </references>
      </pivotArea>
    </chartFormat>
    <chartFormat chart="18" format="38">
      <pivotArea type="data" outline="0" fieldPosition="0">
        <references count="2">
          <reference field="4294967294" count="1" selected="0">
            <x v="0"/>
          </reference>
          <reference field="3" count="1" selected="0">
            <x v="5"/>
          </reference>
        </references>
      </pivotArea>
    </chartFormat>
    <chartFormat chart="18" format="39">
      <pivotArea type="data" outline="0" fieldPosition="0">
        <references count="2">
          <reference field="4294967294" count="1" selected="0">
            <x v="0"/>
          </reference>
          <reference field="3" count="1" selected="0">
            <x v="6"/>
          </reference>
        </references>
      </pivotArea>
    </chartFormat>
    <chartFormat chart="18" format="40">
      <pivotArea type="data" outline="0" fieldPosition="0">
        <references count="2">
          <reference field="4294967294" count="1" selected="0">
            <x v="0"/>
          </reference>
          <reference field="3" count="1" selected="0">
            <x v="7"/>
          </reference>
        </references>
      </pivotArea>
    </chartFormat>
    <chartFormat chart="18" format="41">
      <pivotArea type="data" outline="0" fieldPosition="0">
        <references count="2">
          <reference field="4294967294" count="1" selected="0">
            <x v="0"/>
          </reference>
          <reference field="3" count="1" selected="0">
            <x v="8"/>
          </reference>
        </references>
      </pivotArea>
    </chartFormat>
    <chartFormat chart="18" format="42">
      <pivotArea type="data" outline="0" fieldPosition="0">
        <references count="2">
          <reference field="4294967294" count="1" selected="0">
            <x v="0"/>
          </reference>
          <reference field="3" count="1" selected="0">
            <x v="9"/>
          </reference>
        </references>
      </pivotArea>
    </chartFormat>
    <chartFormat chart="18" format="43">
      <pivotArea type="data" outline="0" fieldPosition="0">
        <references count="2">
          <reference field="4294967294" count="1" selected="0">
            <x v="0"/>
          </reference>
          <reference field="3" count="1" selected="0">
            <x v="10"/>
          </reference>
        </references>
      </pivotArea>
    </chartFormat>
    <chartFormat chart="18" format="44">
      <pivotArea type="data" outline="0" fieldPosition="0">
        <references count="2">
          <reference field="4294967294" count="1" selected="0">
            <x v="0"/>
          </reference>
          <reference field="3" count="1" selected="0">
            <x v="11"/>
          </reference>
        </references>
      </pivotArea>
    </chartFormat>
    <chartFormat chart="18" format="45">
      <pivotArea type="data" outline="0" fieldPosition="0">
        <references count="2">
          <reference field="4294967294" count="1" selected="0">
            <x v="0"/>
          </reference>
          <reference field="3" count="1" selected="0">
            <x v="12"/>
          </reference>
        </references>
      </pivotArea>
    </chartFormat>
    <chartFormat chart="18" format="46">
      <pivotArea type="data" outline="0" fieldPosition="0">
        <references count="2">
          <reference field="4294967294" count="1" selected="0">
            <x v="0"/>
          </reference>
          <reference field="3" count="1" selected="0">
            <x v="13"/>
          </reference>
        </references>
      </pivotArea>
    </chartFormat>
    <chartFormat chart="18" format="47">
      <pivotArea type="data" outline="0" fieldPosition="0">
        <references count="2">
          <reference field="4294967294" count="1" selected="0">
            <x v="0"/>
          </reference>
          <reference field="3" count="1" selected="0">
            <x v="14"/>
          </reference>
        </references>
      </pivotArea>
    </chartFormat>
    <chartFormat chart="18" format="48">
      <pivotArea type="data" outline="0" fieldPosition="0">
        <references count="2">
          <reference field="4294967294" count="1" selected="0">
            <x v="0"/>
          </reference>
          <reference field="3" count="1" selected="0">
            <x v="15"/>
          </reference>
        </references>
      </pivotArea>
    </chartFormat>
    <chartFormat chart="18" format="49">
      <pivotArea type="data" outline="0" fieldPosition="0">
        <references count="2">
          <reference field="4294967294" count="1" selected="0">
            <x v="0"/>
          </reference>
          <reference field="3" count="1" selected="0">
            <x v="16"/>
          </reference>
        </references>
      </pivotArea>
    </chartFormat>
    <chartFormat chart="18" format="50">
      <pivotArea type="data" outline="0" fieldPosition="0">
        <references count="2">
          <reference field="4294967294" count="1" selected="0">
            <x v="0"/>
          </reference>
          <reference field="3" count="1" selected="0">
            <x v="17"/>
          </reference>
        </references>
      </pivotArea>
    </chartFormat>
    <chartFormat chart="18" format="51">
      <pivotArea type="data" outline="0" fieldPosition="0">
        <references count="2">
          <reference field="4294967294" count="1" selected="0">
            <x v="0"/>
          </reference>
          <reference field="3" count="1" selected="0">
            <x v="18"/>
          </reference>
        </references>
      </pivotArea>
    </chartFormat>
    <chartFormat chart="18" format="52">
      <pivotArea type="data" outline="0" fieldPosition="0">
        <references count="2">
          <reference field="4294967294" count="1" selected="0">
            <x v="0"/>
          </reference>
          <reference field="3" count="1" selected="0">
            <x v="19"/>
          </reference>
        </references>
      </pivotArea>
    </chartFormat>
    <chartFormat chart="18" format="53">
      <pivotArea type="data" outline="0" fieldPosition="0">
        <references count="2">
          <reference field="4294967294" count="1" selected="0">
            <x v="0"/>
          </reference>
          <reference field="3" count="1" selected="0">
            <x v="20"/>
          </reference>
        </references>
      </pivotArea>
    </chartFormat>
    <chartFormat chart="18" format="54">
      <pivotArea type="data" outline="0" fieldPosition="0">
        <references count="2">
          <reference field="4294967294" count="1" selected="0">
            <x v="0"/>
          </reference>
          <reference field="3" count="1" selected="0">
            <x v="21"/>
          </reference>
        </references>
      </pivotArea>
    </chartFormat>
    <chartFormat chart="18" format="55">
      <pivotArea type="data" outline="0" fieldPosition="0">
        <references count="2">
          <reference field="4294967294" count="1" selected="0">
            <x v="0"/>
          </reference>
          <reference field="3" count="1" selected="0">
            <x v="22"/>
          </reference>
        </references>
      </pivotArea>
    </chartFormat>
    <chartFormat chart="18" format="56">
      <pivotArea type="data" outline="0" fieldPosition="0">
        <references count="2">
          <reference field="4294967294" count="1" selected="0">
            <x v="0"/>
          </reference>
          <reference field="3" count="1" selected="0">
            <x v="23"/>
          </reference>
        </references>
      </pivotArea>
    </chartFormat>
    <chartFormat chart="18" format="57">
      <pivotArea type="data" outline="0" fieldPosition="0">
        <references count="2">
          <reference field="4294967294" count="1" selected="0">
            <x v="0"/>
          </reference>
          <reference field="3" count="1" selected="0">
            <x v="24"/>
          </reference>
        </references>
      </pivotArea>
    </chartFormat>
    <chartFormat chart="18" format="58">
      <pivotArea type="data" outline="0" fieldPosition="0">
        <references count="2">
          <reference field="4294967294" count="1" selected="0">
            <x v="0"/>
          </reference>
          <reference field="3" count="1" selected="0">
            <x v="25"/>
          </reference>
        </references>
      </pivotArea>
    </chartFormat>
    <chartFormat chart="18" format="59">
      <pivotArea type="data" outline="0" fieldPosition="0">
        <references count="2">
          <reference field="4294967294" count="1" selected="0">
            <x v="0"/>
          </reference>
          <reference field="3" count="1" selected="0">
            <x v="26"/>
          </reference>
        </references>
      </pivotArea>
    </chartFormat>
    <chartFormat chart="18" format="60">
      <pivotArea type="data" outline="0" fieldPosition="0">
        <references count="2">
          <reference field="4294967294" count="1" selected="0">
            <x v="0"/>
          </reference>
          <reference field="3" count="1" selected="0">
            <x v="27"/>
          </reference>
        </references>
      </pivotArea>
    </chartFormat>
    <chartFormat chart="18" format="61">
      <pivotArea type="data" outline="0" fieldPosition="0">
        <references count="2">
          <reference field="4294967294" count="1" selected="0">
            <x v="0"/>
          </reference>
          <reference field="3" count="1" selected="0">
            <x v="28"/>
          </reference>
        </references>
      </pivotArea>
    </chartFormat>
    <chartFormat chart="18" format="62">
      <pivotArea type="data" outline="0" fieldPosition="0">
        <references count="2">
          <reference field="4294967294" count="1" selected="0">
            <x v="0"/>
          </reference>
          <reference field="3" count="1" selected="0">
            <x v="2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62E036-5739-4B54-A4A0-588F121EB6F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C4:D8" firstHeaderRow="1" firstDataRow="1" firstDataCol="1"/>
  <pivotFields count="11">
    <pivotField showAll="0"/>
    <pivotField showAll="0">
      <items count="31">
        <item x="7"/>
        <item x="10"/>
        <item x="16"/>
        <item x="3"/>
        <item x="28"/>
        <item x="14"/>
        <item x="21"/>
        <item x="13"/>
        <item x="12"/>
        <item x="18"/>
        <item x="1"/>
        <item x="11"/>
        <item x="4"/>
        <item x="8"/>
        <item x="0"/>
        <item x="19"/>
        <item x="23"/>
        <item x="2"/>
        <item x="22"/>
        <item x="15"/>
        <item x="26"/>
        <item x="6"/>
        <item x="29"/>
        <item x="5"/>
        <item x="17"/>
        <item x="25"/>
        <item x="9"/>
        <item x="20"/>
        <item x="24"/>
        <item x="27"/>
        <item t="default"/>
      </items>
    </pivotField>
    <pivotField showAll="0">
      <items count="4">
        <item x="0"/>
        <item x="2"/>
        <item x="1"/>
        <item t="default"/>
      </items>
    </pivotField>
    <pivotField showAll="0"/>
    <pivotField showAll="0">
      <items count="13">
        <item x="0"/>
        <item x="1"/>
        <item x="2"/>
        <item x="3"/>
        <item x="4"/>
        <item x="5"/>
        <item x="6"/>
        <item x="7"/>
        <item x="8"/>
        <item x="9"/>
        <item x="10"/>
        <item x="11"/>
        <item t="default"/>
      </items>
    </pivotField>
    <pivotField axis="axisRow" showAll="0">
      <items count="4">
        <item x="0"/>
        <item x="1"/>
        <item x="2"/>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Profit" fld="9" baseField="0" baseItem="0"/>
  </dataFields>
  <chartFormats count="4">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5" count="1" selected="0">
            <x v="1"/>
          </reference>
        </references>
      </pivotArea>
    </chartFormat>
    <chartFormat chart="15"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D92A2A-E9A4-4C6A-8679-D7FBA7A0249F}" sourceName="Category">
  <pivotTables>
    <pivotTable tabId="2" name="PivotTable4"/>
    <pivotTable tabId="2" name="PivotTable10"/>
    <pivotTable tabId="2" name="PivotTable11"/>
    <pivotTable tabId="2" name="PivotTable2"/>
    <pivotTable tabId="2" name="PivotTable3"/>
    <pivotTable tabId="2" name="PivotTable5"/>
    <pivotTable tabId="2" name="PivotTable9"/>
    <pivotTable tabId="4" name="PivotTable7"/>
  </pivotTables>
  <data>
    <tabular pivotCacheId="97395347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301BF489-8046-4926-8C70-A1C57B6F2E69}" sourceName="ProductName">
  <pivotTables>
    <pivotTable tabId="2" name="PivotTable4"/>
    <pivotTable tabId="2" name="PivotTable1"/>
    <pivotTable tabId="2" name="PivotTable10"/>
    <pivotTable tabId="2" name="PivotTable11"/>
    <pivotTable tabId="2" name="PivotTable2"/>
    <pivotTable tabId="2" name="PivotTable3"/>
    <pivotTable tabId="2" name="PivotTable5"/>
    <pivotTable tabId="2" name="PivotTable9"/>
    <pivotTable tabId="4" name="PivotTable7"/>
  </pivotTables>
  <data>
    <tabular pivotCacheId="973953472">
      <items count="30">
        <i x="7" s="1"/>
        <i x="10" s="1"/>
        <i x="16" s="1"/>
        <i x="3" s="1"/>
        <i x="28" s="1"/>
        <i x="14" s="1"/>
        <i x="21" s="1"/>
        <i x="13" s="1"/>
        <i x="12" s="1"/>
        <i x="18" s="1"/>
        <i x="1" s="1"/>
        <i x="11" s="1"/>
        <i x="4" s="1"/>
        <i x="8" s="1"/>
        <i x="0" s="1"/>
        <i x="19" s="1"/>
        <i x="23" s="1"/>
        <i x="2" s="1"/>
        <i x="22" s="1"/>
        <i x="15" s="1"/>
        <i x="26" s="1"/>
        <i x="6" s="1"/>
        <i x="29" s="1"/>
        <i x="5" s="1"/>
        <i x="17" s="1"/>
        <i x="25" s="1"/>
        <i x="9" s="1"/>
        <i x="20" s="1"/>
        <i x="24" s="1"/>
        <i x="2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B26D07A-D5B8-4790-9338-885D2E3B841F}" sourceName="Year">
  <pivotTables>
    <pivotTable tabId="2" name="PivotTable4"/>
    <pivotTable tabId="2" name="PivotTable1"/>
    <pivotTable tabId="2" name="PivotTable10"/>
    <pivotTable tabId="2" name="PivotTable11"/>
    <pivotTable tabId="2" name="PivotTable2"/>
    <pivotTable tabId="2" name="PivotTable3"/>
    <pivotTable tabId="2" name="PivotTable5"/>
    <pivotTable tabId="2" name="PivotTable9"/>
    <pivotTable tabId="4" name="PivotTable7"/>
  </pivotTables>
  <data>
    <tabular pivotCacheId="97395347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C207A99-5292-4791-9C92-955436054E96}" sourceName="Month">
  <pivotTables>
    <pivotTable tabId="2" name="PivotTable4"/>
    <pivotTable tabId="2" name="PivotTable1"/>
    <pivotTable tabId="2" name="PivotTable10"/>
    <pivotTable tabId="2" name="PivotTable11"/>
    <pivotTable tabId="2" name="PivotTable2"/>
    <pivotTable tabId="2" name="PivotTable3"/>
    <pivotTable tabId="2" name="PivotTable5"/>
    <pivotTable tabId="2" name="PivotTable9"/>
    <pivotTable tabId="4" name="PivotTable7"/>
  </pivotTables>
  <data>
    <tabular pivotCacheId="973953472">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F5810AC-5340-4EE0-A58F-BC89C1B0BDD1}" cache="Slicer_Category" caption="Category" style="SlicerStyleDark2" rowHeight="262466"/>
  <slicer name="ProductName" xr10:uid="{B2E8E4B4-568B-48EC-9357-4C32FFE003FF}" cache="Slicer_ProductName" caption="ProductName" startItem="21" style="SlicerStyleDark6" rowHeight="262466"/>
  <slicer name="Year" xr10:uid="{9F567709-10A8-466D-9CAE-2FD8980C21CF}" cache="Slicer_Year" caption="Year" style="SlicerStyleDark5" rowHeight="262466"/>
  <slicer name="Month" xr10:uid="{5E43B7F7-5011-41CC-A7DE-DFC478B993B0}" cache="Slicer_Month" caption="Month" startItem="2" columnCount="2" style="SlicerStyleLight4"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44CADA-BC9F-4BE0-BC1C-503B81974ABA}" name="Table2" displayName="Table2" ref="A1:K31" totalsRowShown="0">
  <autoFilter ref="A1:K31" xr:uid="{7F44CADA-BC9F-4BE0-BC1C-503B81974ABA}"/>
  <tableColumns count="11">
    <tableColumn id="1" xr3:uid="{30C82674-0B42-4D86-A169-FE9B766BF514}" name="SalesID"/>
    <tableColumn id="2" xr3:uid="{345D9B4C-0A28-44C0-BA9C-1ECF829CDDEC}" name="ProductName"/>
    <tableColumn id="3" xr3:uid="{C6FBE4FB-55F3-41FD-814A-8457F38037CE}" name="Category"/>
    <tableColumn id="4" xr3:uid="{273BBBC4-8CB2-4395-A40C-252FC2DFC280}" name="CustomerName"/>
    <tableColumn id="5" xr3:uid="{D03B3387-AF02-48BB-89C2-FF5A029400C3}" name="Month"/>
    <tableColumn id="6" xr3:uid="{E7F6AA4B-3FB9-4E62-8089-494CA4B63793}" name="Year"/>
    <tableColumn id="7" xr3:uid="{BA5BCEC8-97D5-4103-B426-D7581FB34FC7}" name="Quantity"/>
    <tableColumn id="8" xr3:uid="{A1F221ED-DDBA-406A-A9E0-C65708067B34}" name="Price"/>
    <tableColumn id="9" xr3:uid="{464B13A1-3027-460B-B6BC-78D4A0011134}" name="SalesAmount"/>
    <tableColumn id="10" xr3:uid="{E55E7C44-9EFD-4007-9575-26CB339FB95F}" name="Profit"/>
    <tableColumn id="11" xr3:uid="{7D1DD121-D1CD-4C33-9DC8-22C611E82F40}" name="St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E5B956-48C3-49D9-8EF2-17CC012EBCBF}" name="Table3" displayName="Table3" ref="A1:K31" totalsRowShown="0">
  <autoFilter ref="A1:K31" xr:uid="{52E5B956-48C3-49D9-8EF2-17CC012EBCBF}"/>
  <tableColumns count="11">
    <tableColumn id="1" xr3:uid="{866C1CDA-7F3A-4A62-AA94-A7C9621BA0BF}" name="SalesID"/>
    <tableColumn id="2" xr3:uid="{39C70A88-8643-446A-A4B0-D2F2556C19B1}" name="ProductName"/>
    <tableColumn id="3" xr3:uid="{42A5CDA1-4660-4F8E-85E3-05D12E248E91}" name="Category"/>
    <tableColumn id="4" xr3:uid="{DE40366A-D427-4BD8-B49F-EEAF98BA7DEC}" name="CustomerName"/>
    <tableColumn id="5" xr3:uid="{6488978E-67D3-4CE2-B5FE-AE8FC40AC63F}" name="Month"/>
    <tableColumn id="6" xr3:uid="{4D2CFD53-C4BC-4776-BF34-ABD53301B171}" name="Year"/>
    <tableColumn id="7" xr3:uid="{FFAD7E0B-B872-4208-A251-FA9F25586348}" name="Quantity"/>
    <tableColumn id="8" xr3:uid="{DB2E65C2-625A-45B6-B942-6E78C36DDD59}" name="Price"/>
    <tableColumn id="9" xr3:uid="{E086E72A-2160-46B1-B384-EF94FB938ACD}" name="SalesAmount"/>
    <tableColumn id="10" xr3:uid="{77F573E5-3EBB-451A-A5F1-C621D822DFEF}" name="Profit"/>
    <tableColumn id="11" xr3:uid="{DE59535C-C83F-4031-835B-CCE7FC612E18}" name="St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91C716-179E-4FF8-B048-76F2ED1CDD55}" name="Table1" displayName="Table1" ref="A1:K31" totalsRowShown="0" headerRowDxfId="53">
  <autoFilter ref="A1:K31" xr:uid="{C188BA59-FB70-AB4D-8AF1-39A35CCB49DE}"/>
  <tableColumns count="11">
    <tableColumn id="1" xr3:uid="{B25BCDF9-4846-48E2-BEF7-862A887D2C91}" name="SalesID"/>
    <tableColumn id="2" xr3:uid="{93E5365D-F5FF-4850-95C8-5F76AE9AB52B}" name="ProductName"/>
    <tableColumn id="3" xr3:uid="{8B749F45-A50C-4E11-8DD8-52DB2153AD1E}" name="Category"/>
    <tableColumn id="4" xr3:uid="{74D005D0-1173-4D42-BE85-CCC760B84CF1}" name="CustomerName"/>
    <tableColumn id="5" xr3:uid="{E2F25D2C-376A-4C51-8688-8598FB354C81}" name="Month"/>
    <tableColumn id="6" xr3:uid="{25B7B8E9-425B-447D-809C-22D34EAEDD0E}" name="Year"/>
    <tableColumn id="7" xr3:uid="{56FC402B-C60F-43F4-AF56-7C5D2CF1529D}" name="Quantity"/>
    <tableColumn id="8" xr3:uid="{9B1807E3-9924-4380-BFA2-7182ADC457B6}" name="Price"/>
    <tableColumn id="9" xr3:uid="{EEFF429D-8EB3-4D43-A3DD-A62A0A4767CC}" name="SalesAmount"/>
    <tableColumn id="10" xr3:uid="{03327974-E4D3-45E8-8C55-9645C90EF976}" name="Profit"/>
    <tableColumn id="11" xr3:uid="{A4A970EF-608E-48F6-A870-202176E653DE}" name="Sta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51434-A4B5-4351-9AE6-69AAEA596E63}">
  <dimension ref="A1:K31"/>
  <sheetViews>
    <sheetView topLeftCell="M1" workbookViewId="0">
      <selection activeCell="B9" sqref="B8:B9"/>
    </sheetView>
  </sheetViews>
  <sheetFormatPr defaultRowHeight="15.5" x14ac:dyDescent="0.35"/>
  <cols>
    <col min="2" max="2" width="14.1640625" customWidth="1"/>
    <col min="3" max="3" width="10" customWidth="1"/>
    <col min="4" max="4" width="15.75" customWidth="1"/>
    <col min="7" max="7" width="9.83203125" customWidth="1"/>
    <col min="9" max="9" width="13.6640625"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t="s">
        <v>11</v>
      </c>
      <c r="C2" t="s">
        <v>12</v>
      </c>
      <c r="D2" t="s">
        <v>13</v>
      </c>
      <c r="E2" t="s">
        <v>14</v>
      </c>
      <c r="F2">
        <v>2024</v>
      </c>
      <c r="G2">
        <v>5</v>
      </c>
      <c r="H2">
        <v>120</v>
      </c>
      <c r="I2">
        <v>600</v>
      </c>
      <c r="J2">
        <v>90</v>
      </c>
      <c r="K2" t="s">
        <v>15</v>
      </c>
    </row>
    <row r="3" spans="1:11" x14ac:dyDescent="0.35">
      <c r="A3">
        <v>2</v>
      </c>
      <c r="B3" t="s">
        <v>16</v>
      </c>
      <c r="C3" t="s">
        <v>17</v>
      </c>
      <c r="D3" t="s">
        <v>18</v>
      </c>
      <c r="E3" t="s">
        <v>19</v>
      </c>
      <c r="F3">
        <v>2024</v>
      </c>
      <c r="G3">
        <v>2</v>
      </c>
      <c r="H3">
        <v>900</v>
      </c>
      <c r="I3">
        <v>1800</v>
      </c>
      <c r="J3">
        <v>300</v>
      </c>
      <c r="K3" t="s">
        <v>20</v>
      </c>
    </row>
    <row r="4" spans="1:11" x14ac:dyDescent="0.35">
      <c r="A4">
        <v>3</v>
      </c>
      <c r="B4" t="s">
        <v>21</v>
      </c>
      <c r="C4" t="s">
        <v>22</v>
      </c>
      <c r="D4" t="s">
        <v>23</v>
      </c>
      <c r="E4" t="s">
        <v>24</v>
      </c>
      <c r="F4">
        <v>2024</v>
      </c>
      <c r="G4">
        <v>20</v>
      </c>
      <c r="H4">
        <v>25</v>
      </c>
      <c r="I4">
        <v>500</v>
      </c>
      <c r="J4">
        <v>80</v>
      </c>
      <c r="K4" t="s">
        <v>25</v>
      </c>
    </row>
    <row r="5" spans="1:11" x14ac:dyDescent="0.35">
      <c r="A5">
        <v>4</v>
      </c>
      <c r="B5" t="s">
        <v>26</v>
      </c>
      <c r="C5" t="s">
        <v>12</v>
      </c>
      <c r="D5" t="s">
        <v>27</v>
      </c>
      <c r="E5" t="s">
        <v>28</v>
      </c>
      <c r="F5">
        <v>2024</v>
      </c>
      <c r="G5">
        <v>3</v>
      </c>
      <c r="H5">
        <v>250</v>
      </c>
      <c r="I5">
        <v>750</v>
      </c>
      <c r="J5">
        <v>120</v>
      </c>
      <c r="K5" t="s">
        <v>29</v>
      </c>
    </row>
    <row r="6" spans="1:11" x14ac:dyDescent="0.35">
      <c r="A6">
        <v>5</v>
      </c>
      <c r="B6" t="s">
        <v>30</v>
      </c>
      <c r="C6" t="s">
        <v>17</v>
      </c>
      <c r="D6" t="s">
        <v>31</v>
      </c>
      <c r="E6" t="s">
        <v>32</v>
      </c>
      <c r="F6">
        <v>2024</v>
      </c>
      <c r="G6">
        <v>4</v>
      </c>
      <c r="H6">
        <v>200</v>
      </c>
      <c r="I6">
        <v>800</v>
      </c>
      <c r="J6">
        <v>160</v>
      </c>
      <c r="K6" t="s">
        <v>33</v>
      </c>
    </row>
    <row r="7" spans="1:11" x14ac:dyDescent="0.35">
      <c r="A7">
        <v>6</v>
      </c>
      <c r="B7" t="s">
        <v>34</v>
      </c>
      <c r="C7" t="s">
        <v>22</v>
      </c>
      <c r="D7" t="s">
        <v>35</v>
      </c>
      <c r="E7" t="s">
        <v>36</v>
      </c>
      <c r="F7">
        <v>2024</v>
      </c>
      <c r="G7">
        <v>30</v>
      </c>
      <c r="H7">
        <v>15</v>
      </c>
      <c r="I7">
        <v>450</v>
      </c>
      <c r="J7">
        <v>70</v>
      </c>
      <c r="K7" t="s">
        <v>37</v>
      </c>
    </row>
    <row r="8" spans="1:11" x14ac:dyDescent="0.35">
      <c r="A8">
        <v>7</v>
      </c>
      <c r="B8" t="s">
        <v>38</v>
      </c>
      <c r="C8" t="s">
        <v>17</v>
      </c>
      <c r="D8" t="s">
        <v>39</v>
      </c>
      <c r="E8" t="s">
        <v>40</v>
      </c>
      <c r="F8">
        <v>2024</v>
      </c>
      <c r="G8">
        <v>3</v>
      </c>
      <c r="H8">
        <v>700</v>
      </c>
      <c r="I8">
        <v>2100</v>
      </c>
      <c r="J8">
        <v>420</v>
      </c>
      <c r="K8" t="s">
        <v>15</v>
      </c>
    </row>
    <row r="9" spans="1:11" x14ac:dyDescent="0.35">
      <c r="A9">
        <v>8</v>
      </c>
      <c r="B9" t="s">
        <v>41</v>
      </c>
      <c r="C9" t="s">
        <v>12</v>
      </c>
      <c r="D9" t="s">
        <v>42</v>
      </c>
      <c r="E9" t="s">
        <v>43</v>
      </c>
      <c r="F9">
        <v>2024</v>
      </c>
      <c r="G9">
        <v>2</v>
      </c>
      <c r="H9">
        <v>180</v>
      </c>
      <c r="I9">
        <v>360</v>
      </c>
      <c r="J9">
        <v>60</v>
      </c>
      <c r="K9" t="s">
        <v>44</v>
      </c>
    </row>
    <row r="10" spans="1:11" x14ac:dyDescent="0.35">
      <c r="A10">
        <v>9</v>
      </c>
      <c r="B10" t="s">
        <v>45</v>
      </c>
      <c r="C10" t="s">
        <v>22</v>
      </c>
      <c r="D10" t="s">
        <v>46</v>
      </c>
      <c r="E10" t="s">
        <v>47</v>
      </c>
      <c r="F10">
        <v>2024</v>
      </c>
      <c r="G10">
        <v>100</v>
      </c>
      <c r="H10">
        <v>5</v>
      </c>
      <c r="I10">
        <v>500</v>
      </c>
      <c r="J10">
        <v>90</v>
      </c>
      <c r="K10" t="s">
        <v>20</v>
      </c>
    </row>
    <row r="11" spans="1:11" x14ac:dyDescent="0.35">
      <c r="A11">
        <v>10</v>
      </c>
      <c r="B11" t="s">
        <v>48</v>
      </c>
      <c r="C11" t="s">
        <v>17</v>
      </c>
      <c r="D11" t="s">
        <v>49</v>
      </c>
      <c r="E11" t="s">
        <v>50</v>
      </c>
      <c r="F11">
        <v>2024</v>
      </c>
      <c r="G11">
        <v>4</v>
      </c>
      <c r="H11">
        <v>350</v>
      </c>
      <c r="I11">
        <v>1400</v>
      </c>
      <c r="J11">
        <v>210</v>
      </c>
      <c r="K11" t="s">
        <v>51</v>
      </c>
    </row>
    <row r="12" spans="1:11" x14ac:dyDescent="0.35">
      <c r="A12">
        <v>11</v>
      </c>
      <c r="B12" t="s">
        <v>52</v>
      </c>
      <c r="C12" t="s">
        <v>12</v>
      </c>
      <c r="D12" t="s">
        <v>53</v>
      </c>
      <c r="E12" t="s">
        <v>14</v>
      </c>
      <c r="F12">
        <v>2025</v>
      </c>
      <c r="G12">
        <v>2</v>
      </c>
      <c r="H12">
        <v>220</v>
      </c>
      <c r="I12">
        <v>440</v>
      </c>
      <c r="J12">
        <v>75</v>
      </c>
      <c r="K12" t="s">
        <v>54</v>
      </c>
    </row>
    <row r="13" spans="1:11" x14ac:dyDescent="0.35">
      <c r="A13">
        <v>12</v>
      </c>
      <c r="B13" t="s">
        <v>55</v>
      </c>
      <c r="C13" t="s">
        <v>22</v>
      </c>
      <c r="D13" t="s">
        <v>56</v>
      </c>
      <c r="E13" t="s">
        <v>24</v>
      </c>
      <c r="F13">
        <v>2025</v>
      </c>
      <c r="G13">
        <v>50</v>
      </c>
      <c r="H13">
        <v>10</v>
      </c>
      <c r="I13">
        <v>500</v>
      </c>
      <c r="J13">
        <v>85</v>
      </c>
      <c r="K13" t="s">
        <v>57</v>
      </c>
    </row>
    <row r="14" spans="1:11" x14ac:dyDescent="0.35">
      <c r="A14">
        <v>13</v>
      </c>
      <c r="B14" t="s">
        <v>58</v>
      </c>
      <c r="C14" t="s">
        <v>17</v>
      </c>
      <c r="D14" t="s">
        <v>59</v>
      </c>
      <c r="E14" t="s">
        <v>32</v>
      </c>
      <c r="F14">
        <v>2025</v>
      </c>
      <c r="G14">
        <v>10</v>
      </c>
      <c r="H14">
        <v>80</v>
      </c>
      <c r="I14">
        <v>800</v>
      </c>
      <c r="J14">
        <v>140</v>
      </c>
      <c r="K14" t="s">
        <v>15</v>
      </c>
    </row>
    <row r="15" spans="1:11" x14ac:dyDescent="0.35">
      <c r="A15">
        <v>14</v>
      </c>
      <c r="B15" t="s">
        <v>60</v>
      </c>
      <c r="C15" t="s">
        <v>12</v>
      </c>
      <c r="D15" t="s">
        <v>61</v>
      </c>
      <c r="E15" t="s">
        <v>40</v>
      </c>
      <c r="F15">
        <v>2025</v>
      </c>
      <c r="G15">
        <v>1</v>
      </c>
      <c r="H15">
        <v>300</v>
      </c>
      <c r="I15">
        <v>300</v>
      </c>
      <c r="J15">
        <v>55</v>
      </c>
      <c r="K15" t="s">
        <v>25</v>
      </c>
    </row>
    <row r="16" spans="1:11" x14ac:dyDescent="0.35">
      <c r="A16">
        <v>15</v>
      </c>
      <c r="B16" t="s">
        <v>62</v>
      </c>
      <c r="C16" t="s">
        <v>22</v>
      </c>
      <c r="D16" t="s">
        <v>63</v>
      </c>
      <c r="E16" t="s">
        <v>47</v>
      </c>
      <c r="F16">
        <v>2025</v>
      </c>
      <c r="G16">
        <v>40</v>
      </c>
      <c r="H16">
        <v>12</v>
      </c>
      <c r="I16">
        <v>480</v>
      </c>
      <c r="J16">
        <v>65</v>
      </c>
      <c r="K16" t="s">
        <v>64</v>
      </c>
    </row>
    <row r="17" spans="1:11" x14ac:dyDescent="0.35">
      <c r="A17">
        <v>16</v>
      </c>
      <c r="B17" t="s">
        <v>65</v>
      </c>
      <c r="C17" t="s">
        <v>17</v>
      </c>
      <c r="D17" t="s">
        <v>66</v>
      </c>
      <c r="E17" t="s">
        <v>67</v>
      </c>
      <c r="F17">
        <v>2025</v>
      </c>
      <c r="G17">
        <v>3</v>
      </c>
      <c r="H17">
        <v>150</v>
      </c>
      <c r="I17">
        <v>450</v>
      </c>
      <c r="J17">
        <v>90</v>
      </c>
      <c r="K17" t="s">
        <v>20</v>
      </c>
    </row>
    <row r="18" spans="1:11" x14ac:dyDescent="0.35">
      <c r="A18">
        <v>17</v>
      </c>
      <c r="B18" t="s">
        <v>68</v>
      </c>
      <c r="C18" t="s">
        <v>12</v>
      </c>
      <c r="D18" t="s">
        <v>69</v>
      </c>
      <c r="E18" t="s">
        <v>14</v>
      </c>
      <c r="F18">
        <v>2025</v>
      </c>
      <c r="G18">
        <v>1</v>
      </c>
      <c r="H18">
        <v>800</v>
      </c>
      <c r="I18">
        <v>800</v>
      </c>
      <c r="J18">
        <v>150</v>
      </c>
      <c r="K18" t="s">
        <v>29</v>
      </c>
    </row>
    <row r="19" spans="1:11" x14ac:dyDescent="0.35">
      <c r="A19">
        <v>18</v>
      </c>
      <c r="B19" t="s">
        <v>70</v>
      </c>
      <c r="C19" t="s">
        <v>22</v>
      </c>
      <c r="D19" t="s">
        <v>71</v>
      </c>
      <c r="E19" t="s">
        <v>24</v>
      </c>
      <c r="F19">
        <v>2025</v>
      </c>
      <c r="G19">
        <v>60</v>
      </c>
      <c r="H19">
        <v>8</v>
      </c>
      <c r="I19">
        <v>480</v>
      </c>
      <c r="J19">
        <v>70</v>
      </c>
      <c r="K19" t="s">
        <v>72</v>
      </c>
    </row>
    <row r="20" spans="1:11" x14ac:dyDescent="0.35">
      <c r="A20">
        <v>19</v>
      </c>
      <c r="B20" t="s">
        <v>73</v>
      </c>
      <c r="C20" t="s">
        <v>17</v>
      </c>
      <c r="D20" t="s">
        <v>74</v>
      </c>
      <c r="E20" t="s">
        <v>32</v>
      </c>
      <c r="F20">
        <v>2025</v>
      </c>
      <c r="G20">
        <v>12</v>
      </c>
      <c r="H20">
        <v>45</v>
      </c>
      <c r="I20">
        <v>540</v>
      </c>
      <c r="J20">
        <v>95</v>
      </c>
      <c r="K20" t="s">
        <v>15</v>
      </c>
    </row>
    <row r="21" spans="1:11" x14ac:dyDescent="0.35">
      <c r="A21">
        <v>20</v>
      </c>
      <c r="B21" t="s">
        <v>75</v>
      </c>
      <c r="C21" t="s">
        <v>12</v>
      </c>
      <c r="D21" t="s">
        <v>76</v>
      </c>
      <c r="E21" t="s">
        <v>40</v>
      </c>
      <c r="F21">
        <v>2025</v>
      </c>
      <c r="G21">
        <v>1</v>
      </c>
      <c r="H21">
        <v>600</v>
      </c>
      <c r="I21">
        <v>600</v>
      </c>
      <c r="J21">
        <v>110</v>
      </c>
      <c r="K21" t="s">
        <v>33</v>
      </c>
    </row>
    <row r="22" spans="1:11" x14ac:dyDescent="0.35">
      <c r="A22">
        <v>21</v>
      </c>
      <c r="B22" t="s">
        <v>77</v>
      </c>
      <c r="C22" t="s">
        <v>22</v>
      </c>
      <c r="D22" t="s">
        <v>78</v>
      </c>
      <c r="E22" t="s">
        <v>32</v>
      </c>
      <c r="F22">
        <v>2026</v>
      </c>
      <c r="G22">
        <v>6</v>
      </c>
      <c r="H22">
        <v>85</v>
      </c>
      <c r="I22">
        <v>510</v>
      </c>
      <c r="J22">
        <v>100</v>
      </c>
      <c r="K22" t="s">
        <v>25</v>
      </c>
    </row>
    <row r="23" spans="1:11" x14ac:dyDescent="0.35">
      <c r="A23">
        <v>22</v>
      </c>
      <c r="B23" t="s">
        <v>79</v>
      </c>
      <c r="C23" t="s">
        <v>17</v>
      </c>
      <c r="D23" t="s">
        <v>80</v>
      </c>
      <c r="E23" t="s">
        <v>28</v>
      </c>
      <c r="F23">
        <v>2026</v>
      </c>
      <c r="G23">
        <v>5</v>
      </c>
      <c r="H23">
        <v>120</v>
      </c>
      <c r="I23">
        <v>600</v>
      </c>
      <c r="J23">
        <v>120</v>
      </c>
      <c r="K23" t="s">
        <v>44</v>
      </c>
    </row>
    <row r="24" spans="1:11" x14ac:dyDescent="0.35">
      <c r="A24">
        <v>23</v>
      </c>
      <c r="B24" t="s">
        <v>81</v>
      </c>
      <c r="C24" t="s">
        <v>12</v>
      </c>
      <c r="D24" t="s">
        <v>82</v>
      </c>
      <c r="E24" t="s">
        <v>24</v>
      </c>
      <c r="F24">
        <v>2026</v>
      </c>
      <c r="G24">
        <v>1</v>
      </c>
      <c r="H24">
        <v>950</v>
      </c>
      <c r="I24">
        <v>950</v>
      </c>
      <c r="J24">
        <v>180</v>
      </c>
      <c r="K24" t="s">
        <v>20</v>
      </c>
    </row>
    <row r="25" spans="1:11" x14ac:dyDescent="0.35">
      <c r="A25">
        <v>24</v>
      </c>
      <c r="B25" t="s">
        <v>83</v>
      </c>
      <c r="C25" t="s">
        <v>22</v>
      </c>
      <c r="D25" t="s">
        <v>84</v>
      </c>
      <c r="E25" t="s">
        <v>19</v>
      </c>
      <c r="F25">
        <v>2026</v>
      </c>
      <c r="G25">
        <v>150</v>
      </c>
      <c r="H25">
        <v>3</v>
      </c>
      <c r="I25">
        <v>450</v>
      </c>
      <c r="J25">
        <v>60</v>
      </c>
      <c r="K25" t="s">
        <v>57</v>
      </c>
    </row>
    <row r="26" spans="1:11" x14ac:dyDescent="0.35">
      <c r="A26">
        <v>25</v>
      </c>
      <c r="B26" t="s">
        <v>85</v>
      </c>
      <c r="C26" t="s">
        <v>17</v>
      </c>
      <c r="D26" t="s">
        <v>86</v>
      </c>
      <c r="E26" t="s">
        <v>14</v>
      </c>
      <c r="F26">
        <v>2026</v>
      </c>
      <c r="G26">
        <v>8</v>
      </c>
      <c r="H26">
        <v>70</v>
      </c>
      <c r="I26">
        <v>560</v>
      </c>
      <c r="J26">
        <v>95</v>
      </c>
      <c r="K26" t="s">
        <v>15</v>
      </c>
    </row>
    <row r="27" spans="1:11" x14ac:dyDescent="0.35">
      <c r="A27">
        <v>26</v>
      </c>
      <c r="B27" t="s">
        <v>87</v>
      </c>
      <c r="C27" t="s">
        <v>12</v>
      </c>
      <c r="D27" t="s">
        <v>88</v>
      </c>
      <c r="E27" t="s">
        <v>89</v>
      </c>
      <c r="F27">
        <v>2026</v>
      </c>
      <c r="G27">
        <v>2</v>
      </c>
      <c r="H27">
        <v>400</v>
      </c>
      <c r="I27">
        <v>800</v>
      </c>
      <c r="J27">
        <v>140</v>
      </c>
      <c r="K27" t="s">
        <v>54</v>
      </c>
    </row>
    <row r="28" spans="1:11" x14ac:dyDescent="0.35">
      <c r="A28">
        <v>27</v>
      </c>
      <c r="B28" t="s">
        <v>90</v>
      </c>
      <c r="C28" t="s">
        <v>17</v>
      </c>
      <c r="D28" t="s">
        <v>91</v>
      </c>
      <c r="E28" t="s">
        <v>67</v>
      </c>
      <c r="F28">
        <v>2026</v>
      </c>
      <c r="G28">
        <v>1</v>
      </c>
      <c r="H28">
        <v>2500</v>
      </c>
      <c r="I28">
        <v>2500</v>
      </c>
      <c r="J28">
        <v>500</v>
      </c>
      <c r="K28" t="s">
        <v>33</v>
      </c>
    </row>
    <row r="29" spans="1:11" x14ac:dyDescent="0.35">
      <c r="A29">
        <v>28</v>
      </c>
      <c r="B29" t="s">
        <v>92</v>
      </c>
      <c r="C29" t="s">
        <v>12</v>
      </c>
      <c r="D29" t="s">
        <v>93</v>
      </c>
      <c r="E29" t="s">
        <v>50</v>
      </c>
      <c r="F29">
        <v>2026</v>
      </c>
      <c r="G29">
        <v>2</v>
      </c>
      <c r="H29">
        <v>700</v>
      </c>
      <c r="I29">
        <v>1400</v>
      </c>
      <c r="J29">
        <v>240</v>
      </c>
      <c r="K29" t="s">
        <v>51</v>
      </c>
    </row>
    <row r="30" spans="1:11" x14ac:dyDescent="0.35">
      <c r="A30">
        <v>29</v>
      </c>
      <c r="B30" t="s">
        <v>94</v>
      </c>
      <c r="C30" t="s">
        <v>22</v>
      </c>
      <c r="D30" t="s">
        <v>95</v>
      </c>
      <c r="E30" t="s">
        <v>47</v>
      </c>
      <c r="F30">
        <v>2026</v>
      </c>
      <c r="G30">
        <v>25</v>
      </c>
      <c r="H30">
        <v>20</v>
      </c>
      <c r="I30">
        <v>500</v>
      </c>
      <c r="J30">
        <v>85</v>
      </c>
      <c r="K30" t="s">
        <v>20</v>
      </c>
    </row>
    <row r="31" spans="1:11" x14ac:dyDescent="0.35">
      <c r="A31">
        <v>30</v>
      </c>
      <c r="B31" t="s">
        <v>96</v>
      </c>
      <c r="C31" t="s">
        <v>17</v>
      </c>
      <c r="D31" t="s">
        <v>97</v>
      </c>
      <c r="E31" t="s">
        <v>43</v>
      </c>
      <c r="F31">
        <v>2026</v>
      </c>
      <c r="G31">
        <v>5</v>
      </c>
      <c r="H31">
        <v>250</v>
      </c>
      <c r="I31">
        <v>1250</v>
      </c>
      <c r="J31">
        <v>220</v>
      </c>
      <c r="K3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E1745-1F8E-46A0-B69C-811AB78E82F7}">
  <dimension ref="A3:B34"/>
  <sheetViews>
    <sheetView workbookViewId="0">
      <selection activeCell="A3" sqref="A3"/>
    </sheetView>
  </sheetViews>
  <sheetFormatPr defaultRowHeight="15.5" x14ac:dyDescent="0.35"/>
  <cols>
    <col min="1" max="1" width="13.58203125" bestFit="1" customWidth="1"/>
    <col min="2" max="2" width="18.25" bestFit="1" customWidth="1"/>
    <col min="3" max="3" width="19.25" bestFit="1" customWidth="1"/>
  </cols>
  <sheetData>
    <row r="3" spans="1:2" x14ac:dyDescent="0.35">
      <c r="A3" s="4" t="s">
        <v>102</v>
      </c>
      <c r="B3" t="s">
        <v>98</v>
      </c>
    </row>
    <row r="4" spans="1:2" x14ac:dyDescent="0.35">
      <c r="A4" s="5" t="s">
        <v>13</v>
      </c>
      <c r="B4" s="12">
        <v>24170</v>
      </c>
    </row>
    <row r="5" spans="1:2" x14ac:dyDescent="0.35">
      <c r="A5" s="5" t="s">
        <v>71</v>
      </c>
    </row>
    <row r="6" spans="1:2" x14ac:dyDescent="0.35">
      <c r="A6" s="5" t="s">
        <v>23</v>
      </c>
    </row>
    <row r="7" spans="1:2" x14ac:dyDescent="0.35">
      <c r="A7" s="5" t="s">
        <v>82</v>
      </c>
    </row>
    <row r="8" spans="1:2" x14ac:dyDescent="0.35">
      <c r="A8" s="5" t="s">
        <v>91</v>
      </c>
    </row>
    <row r="9" spans="1:2" x14ac:dyDescent="0.35">
      <c r="A9" s="5" t="s">
        <v>56</v>
      </c>
    </row>
    <row r="10" spans="1:2" x14ac:dyDescent="0.35">
      <c r="A10" s="5" t="s">
        <v>80</v>
      </c>
    </row>
    <row r="11" spans="1:2" x14ac:dyDescent="0.35">
      <c r="A11" s="5" t="s">
        <v>76</v>
      </c>
    </row>
    <row r="12" spans="1:2" x14ac:dyDescent="0.35">
      <c r="A12" s="5" t="s">
        <v>49</v>
      </c>
    </row>
    <row r="13" spans="1:2" x14ac:dyDescent="0.35">
      <c r="A13" s="5" t="s">
        <v>39</v>
      </c>
    </row>
    <row r="14" spans="1:2" x14ac:dyDescent="0.35">
      <c r="A14" s="5" t="s">
        <v>69</v>
      </c>
    </row>
    <row r="15" spans="1:2" x14ac:dyDescent="0.35">
      <c r="A15" s="5" t="s">
        <v>97</v>
      </c>
    </row>
    <row r="16" spans="1:2" x14ac:dyDescent="0.35">
      <c r="A16" s="5" t="s">
        <v>74</v>
      </c>
    </row>
    <row r="17" spans="1:1" x14ac:dyDescent="0.35">
      <c r="A17" s="5" t="s">
        <v>27</v>
      </c>
    </row>
    <row r="18" spans="1:1" x14ac:dyDescent="0.35">
      <c r="A18" s="5" t="s">
        <v>18</v>
      </c>
    </row>
    <row r="19" spans="1:1" x14ac:dyDescent="0.35">
      <c r="A19" s="5" t="s">
        <v>61</v>
      </c>
    </row>
    <row r="20" spans="1:1" x14ac:dyDescent="0.35">
      <c r="A20" s="5" t="s">
        <v>63</v>
      </c>
    </row>
    <row r="21" spans="1:1" x14ac:dyDescent="0.35">
      <c r="A21" s="5" t="s">
        <v>86</v>
      </c>
    </row>
    <row r="22" spans="1:1" x14ac:dyDescent="0.35">
      <c r="A22" s="5" t="s">
        <v>53</v>
      </c>
    </row>
    <row r="23" spans="1:1" x14ac:dyDescent="0.35">
      <c r="A23" s="5" t="s">
        <v>66</v>
      </c>
    </row>
    <row r="24" spans="1:1" x14ac:dyDescent="0.35">
      <c r="A24" s="5" t="s">
        <v>95</v>
      </c>
    </row>
    <row r="25" spans="1:1" x14ac:dyDescent="0.35">
      <c r="A25" s="5" t="s">
        <v>35</v>
      </c>
    </row>
    <row r="26" spans="1:1" x14ac:dyDescent="0.35">
      <c r="A26" s="5" t="s">
        <v>78</v>
      </c>
    </row>
    <row r="27" spans="1:1" x14ac:dyDescent="0.35">
      <c r="A27" s="5" t="s">
        <v>46</v>
      </c>
    </row>
    <row r="28" spans="1:1" x14ac:dyDescent="0.35">
      <c r="A28" s="5" t="s">
        <v>59</v>
      </c>
    </row>
    <row r="29" spans="1:1" x14ac:dyDescent="0.35">
      <c r="A29" s="5" t="s">
        <v>93</v>
      </c>
    </row>
    <row r="30" spans="1:1" x14ac:dyDescent="0.35">
      <c r="A30" s="5" t="s">
        <v>84</v>
      </c>
    </row>
    <row r="31" spans="1:1" x14ac:dyDescent="0.35">
      <c r="A31" s="5" t="s">
        <v>31</v>
      </c>
    </row>
    <row r="32" spans="1:1" x14ac:dyDescent="0.35">
      <c r="A32" s="5" t="s">
        <v>42</v>
      </c>
    </row>
    <row r="33" spans="1:1" x14ac:dyDescent="0.35">
      <c r="A33" s="5" t="s">
        <v>88</v>
      </c>
    </row>
    <row r="34" spans="1:1" x14ac:dyDescent="0.35">
      <c r="A34" s="5"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2A90-61EE-4321-B0FB-034DE31FBA17}">
  <dimension ref="A1:K31"/>
  <sheetViews>
    <sheetView workbookViewId="0">
      <selection activeCell="D9" sqref="C7:D9"/>
    </sheetView>
  </sheetViews>
  <sheetFormatPr defaultRowHeight="15.5" x14ac:dyDescent="0.35"/>
  <cols>
    <col min="2" max="2" width="14.1640625" customWidth="1"/>
    <col min="3" max="3" width="10" customWidth="1"/>
    <col min="4" max="4" width="15.75" customWidth="1"/>
    <col min="7" max="7" width="9.83203125" customWidth="1"/>
    <col min="9" max="9" width="13.6640625"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t="s">
        <v>11</v>
      </c>
      <c r="C2" t="s">
        <v>12</v>
      </c>
      <c r="D2" t="s">
        <v>13</v>
      </c>
      <c r="E2" t="s">
        <v>14</v>
      </c>
      <c r="F2">
        <v>2024</v>
      </c>
      <c r="G2">
        <v>5</v>
      </c>
      <c r="H2">
        <v>120</v>
      </c>
      <c r="I2">
        <v>600</v>
      </c>
      <c r="J2">
        <v>90</v>
      </c>
      <c r="K2" t="s">
        <v>15</v>
      </c>
    </row>
    <row r="3" spans="1:11" x14ac:dyDescent="0.35">
      <c r="A3">
        <v>4</v>
      </c>
      <c r="B3" t="s">
        <v>26</v>
      </c>
      <c r="C3" t="s">
        <v>12</v>
      </c>
      <c r="D3" t="s">
        <v>27</v>
      </c>
      <c r="E3" t="s">
        <v>28</v>
      </c>
      <c r="F3">
        <v>2024</v>
      </c>
      <c r="G3">
        <v>3</v>
      </c>
      <c r="H3">
        <v>250</v>
      </c>
      <c r="I3">
        <v>750</v>
      </c>
      <c r="J3">
        <v>120</v>
      </c>
      <c r="K3" t="s">
        <v>29</v>
      </c>
    </row>
    <row r="4" spans="1:11" x14ac:dyDescent="0.35">
      <c r="A4">
        <v>8</v>
      </c>
      <c r="B4" t="s">
        <v>41</v>
      </c>
      <c r="C4" t="s">
        <v>12</v>
      </c>
      <c r="D4" t="s">
        <v>42</v>
      </c>
      <c r="E4" t="s">
        <v>43</v>
      </c>
      <c r="F4">
        <v>2024</v>
      </c>
      <c r="G4">
        <v>2</v>
      </c>
      <c r="H4">
        <v>180</v>
      </c>
      <c r="I4">
        <v>360</v>
      </c>
      <c r="J4">
        <v>60</v>
      </c>
      <c r="K4" t="s">
        <v>44</v>
      </c>
    </row>
    <row r="5" spans="1:11" x14ac:dyDescent="0.35">
      <c r="A5">
        <v>11</v>
      </c>
      <c r="B5" t="s">
        <v>52</v>
      </c>
      <c r="C5" t="s">
        <v>12</v>
      </c>
      <c r="D5" t="s">
        <v>53</v>
      </c>
      <c r="E5" t="s">
        <v>14</v>
      </c>
      <c r="F5">
        <v>2025</v>
      </c>
      <c r="G5">
        <v>2</v>
      </c>
      <c r="H5">
        <v>220</v>
      </c>
      <c r="I5">
        <v>440</v>
      </c>
      <c r="J5">
        <v>75</v>
      </c>
      <c r="K5" t="s">
        <v>54</v>
      </c>
    </row>
    <row r="6" spans="1:11" x14ac:dyDescent="0.35">
      <c r="A6">
        <v>14</v>
      </c>
      <c r="B6" t="s">
        <v>60</v>
      </c>
      <c r="C6" t="s">
        <v>12</v>
      </c>
      <c r="D6" t="s">
        <v>61</v>
      </c>
      <c r="E6" t="s">
        <v>40</v>
      </c>
      <c r="F6">
        <v>2025</v>
      </c>
      <c r="G6">
        <v>1</v>
      </c>
      <c r="H6">
        <v>300</v>
      </c>
      <c r="I6">
        <v>300</v>
      </c>
      <c r="J6">
        <v>55</v>
      </c>
      <c r="K6" t="s">
        <v>25</v>
      </c>
    </row>
    <row r="7" spans="1:11" x14ac:dyDescent="0.35">
      <c r="A7">
        <v>17</v>
      </c>
      <c r="B7" t="s">
        <v>68</v>
      </c>
      <c r="C7" t="s">
        <v>12</v>
      </c>
      <c r="D7" t="s">
        <v>69</v>
      </c>
      <c r="E7" t="s">
        <v>14</v>
      </c>
      <c r="F7">
        <v>2025</v>
      </c>
      <c r="G7">
        <v>1</v>
      </c>
      <c r="H7">
        <v>800</v>
      </c>
      <c r="I7">
        <v>800</v>
      </c>
      <c r="J7">
        <v>150</v>
      </c>
      <c r="K7" t="s">
        <v>29</v>
      </c>
    </row>
    <row r="8" spans="1:11" x14ac:dyDescent="0.35">
      <c r="A8">
        <v>20</v>
      </c>
      <c r="B8" t="s">
        <v>75</v>
      </c>
      <c r="C8" t="s">
        <v>12</v>
      </c>
      <c r="D8" t="s">
        <v>76</v>
      </c>
      <c r="E8" t="s">
        <v>40</v>
      </c>
      <c r="F8">
        <v>2025</v>
      </c>
      <c r="G8">
        <v>1</v>
      </c>
      <c r="H8">
        <v>600</v>
      </c>
      <c r="I8">
        <v>600</v>
      </c>
      <c r="J8">
        <v>110</v>
      </c>
      <c r="K8" t="s">
        <v>33</v>
      </c>
    </row>
    <row r="9" spans="1:11" x14ac:dyDescent="0.35">
      <c r="A9">
        <v>23</v>
      </c>
      <c r="B9" t="s">
        <v>81</v>
      </c>
      <c r="C9" t="s">
        <v>12</v>
      </c>
      <c r="D9" t="s">
        <v>82</v>
      </c>
      <c r="E9" t="s">
        <v>24</v>
      </c>
      <c r="F9">
        <v>2026</v>
      </c>
      <c r="G9">
        <v>1</v>
      </c>
      <c r="H9">
        <v>950</v>
      </c>
      <c r="I9">
        <v>950</v>
      </c>
      <c r="J9">
        <v>180</v>
      </c>
      <c r="K9" t="s">
        <v>20</v>
      </c>
    </row>
    <row r="10" spans="1:11" x14ac:dyDescent="0.35">
      <c r="A10">
        <v>26</v>
      </c>
      <c r="B10" t="s">
        <v>87</v>
      </c>
      <c r="C10" t="s">
        <v>12</v>
      </c>
      <c r="D10" t="s">
        <v>88</v>
      </c>
      <c r="E10" t="s">
        <v>89</v>
      </c>
      <c r="F10">
        <v>2026</v>
      </c>
      <c r="G10">
        <v>2</v>
      </c>
      <c r="H10">
        <v>400</v>
      </c>
      <c r="I10">
        <v>800</v>
      </c>
      <c r="J10">
        <v>140</v>
      </c>
      <c r="K10" t="s">
        <v>54</v>
      </c>
    </row>
    <row r="11" spans="1:11" x14ac:dyDescent="0.35">
      <c r="A11">
        <v>28</v>
      </c>
      <c r="B11" t="s">
        <v>92</v>
      </c>
      <c r="C11" t="s">
        <v>12</v>
      </c>
      <c r="D11" t="s">
        <v>93</v>
      </c>
      <c r="E11" t="s">
        <v>50</v>
      </c>
      <c r="F11">
        <v>2026</v>
      </c>
      <c r="G11">
        <v>2</v>
      </c>
      <c r="H11">
        <v>700</v>
      </c>
      <c r="I11">
        <v>1400</v>
      </c>
      <c r="J11">
        <v>240</v>
      </c>
      <c r="K11" t="s">
        <v>51</v>
      </c>
    </row>
    <row r="12" spans="1:11" x14ac:dyDescent="0.35">
      <c r="A12">
        <v>3</v>
      </c>
      <c r="B12" t="s">
        <v>21</v>
      </c>
      <c r="C12" t="s">
        <v>22</v>
      </c>
      <c r="D12" t="s">
        <v>23</v>
      </c>
      <c r="E12" t="s">
        <v>24</v>
      </c>
      <c r="F12">
        <v>2024</v>
      </c>
      <c r="G12">
        <v>20</v>
      </c>
      <c r="H12">
        <v>25</v>
      </c>
      <c r="I12">
        <v>500</v>
      </c>
      <c r="J12">
        <v>80</v>
      </c>
      <c r="K12" t="s">
        <v>25</v>
      </c>
    </row>
    <row r="13" spans="1:11" x14ac:dyDescent="0.35">
      <c r="A13">
        <v>6</v>
      </c>
      <c r="B13" t="s">
        <v>34</v>
      </c>
      <c r="C13" t="s">
        <v>22</v>
      </c>
      <c r="D13" t="s">
        <v>35</v>
      </c>
      <c r="E13" t="s">
        <v>36</v>
      </c>
      <c r="F13">
        <v>2024</v>
      </c>
      <c r="G13">
        <v>30</v>
      </c>
      <c r="H13">
        <v>15</v>
      </c>
      <c r="I13">
        <v>450</v>
      </c>
      <c r="J13">
        <v>70</v>
      </c>
      <c r="K13" t="s">
        <v>37</v>
      </c>
    </row>
    <row r="14" spans="1:11" x14ac:dyDescent="0.35">
      <c r="A14">
        <v>9</v>
      </c>
      <c r="B14" t="s">
        <v>45</v>
      </c>
      <c r="C14" t="s">
        <v>22</v>
      </c>
      <c r="D14" t="s">
        <v>46</v>
      </c>
      <c r="E14" t="s">
        <v>47</v>
      </c>
      <c r="F14">
        <v>2024</v>
      </c>
      <c r="G14">
        <v>100</v>
      </c>
      <c r="H14">
        <v>5</v>
      </c>
      <c r="I14">
        <v>500</v>
      </c>
      <c r="J14">
        <v>90</v>
      </c>
      <c r="K14" t="s">
        <v>20</v>
      </c>
    </row>
    <row r="15" spans="1:11" x14ac:dyDescent="0.35">
      <c r="A15">
        <v>12</v>
      </c>
      <c r="B15" t="s">
        <v>55</v>
      </c>
      <c r="C15" t="s">
        <v>22</v>
      </c>
      <c r="D15" t="s">
        <v>56</v>
      </c>
      <c r="E15" t="s">
        <v>24</v>
      </c>
      <c r="F15">
        <v>2025</v>
      </c>
      <c r="G15">
        <v>50</v>
      </c>
      <c r="H15">
        <v>10</v>
      </c>
      <c r="I15">
        <v>500</v>
      </c>
      <c r="J15">
        <v>85</v>
      </c>
      <c r="K15" t="s">
        <v>57</v>
      </c>
    </row>
    <row r="16" spans="1:11" x14ac:dyDescent="0.35">
      <c r="A16">
        <v>15</v>
      </c>
      <c r="B16" t="s">
        <v>62</v>
      </c>
      <c r="C16" t="s">
        <v>22</v>
      </c>
      <c r="D16" t="s">
        <v>63</v>
      </c>
      <c r="E16" t="s">
        <v>47</v>
      </c>
      <c r="F16">
        <v>2025</v>
      </c>
      <c r="G16">
        <v>40</v>
      </c>
      <c r="H16">
        <v>12</v>
      </c>
      <c r="I16">
        <v>480</v>
      </c>
      <c r="J16">
        <v>65</v>
      </c>
      <c r="K16" t="s">
        <v>64</v>
      </c>
    </row>
    <row r="17" spans="1:11" x14ac:dyDescent="0.35">
      <c r="A17">
        <v>18</v>
      </c>
      <c r="B17" t="s">
        <v>70</v>
      </c>
      <c r="C17" t="s">
        <v>22</v>
      </c>
      <c r="D17" t="s">
        <v>71</v>
      </c>
      <c r="E17" t="s">
        <v>24</v>
      </c>
      <c r="F17">
        <v>2025</v>
      </c>
      <c r="G17">
        <v>60</v>
      </c>
      <c r="H17">
        <v>8</v>
      </c>
      <c r="I17">
        <v>480</v>
      </c>
      <c r="J17">
        <v>70</v>
      </c>
      <c r="K17" t="s">
        <v>72</v>
      </c>
    </row>
    <row r="18" spans="1:11" x14ac:dyDescent="0.35">
      <c r="A18">
        <v>21</v>
      </c>
      <c r="B18" t="s">
        <v>77</v>
      </c>
      <c r="C18" t="s">
        <v>22</v>
      </c>
      <c r="D18" t="s">
        <v>78</v>
      </c>
      <c r="E18" t="s">
        <v>32</v>
      </c>
      <c r="F18">
        <v>2026</v>
      </c>
      <c r="G18">
        <v>6</v>
      </c>
      <c r="H18">
        <v>85</v>
      </c>
      <c r="I18">
        <v>510</v>
      </c>
      <c r="J18">
        <v>100</v>
      </c>
      <c r="K18" t="s">
        <v>25</v>
      </c>
    </row>
    <row r="19" spans="1:11" x14ac:dyDescent="0.35">
      <c r="A19">
        <v>24</v>
      </c>
      <c r="B19" t="s">
        <v>83</v>
      </c>
      <c r="C19" t="s">
        <v>22</v>
      </c>
      <c r="D19" t="s">
        <v>84</v>
      </c>
      <c r="E19" t="s">
        <v>19</v>
      </c>
      <c r="F19">
        <v>2026</v>
      </c>
      <c r="G19">
        <v>150</v>
      </c>
      <c r="H19">
        <v>3</v>
      </c>
      <c r="I19">
        <v>450</v>
      </c>
      <c r="J19">
        <v>60</v>
      </c>
      <c r="K19" t="s">
        <v>57</v>
      </c>
    </row>
    <row r="20" spans="1:11" x14ac:dyDescent="0.35">
      <c r="A20">
        <v>29</v>
      </c>
      <c r="B20" t="s">
        <v>94</v>
      </c>
      <c r="C20" t="s">
        <v>22</v>
      </c>
      <c r="D20" t="s">
        <v>95</v>
      </c>
      <c r="E20" t="s">
        <v>47</v>
      </c>
      <c r="F20">
        <v>2026</v>
      </c>
      <c r="G20">
        <v>25</v>
      </c>
      <c r="H20">
        <v>20</v>
      </c>
      <c r="I20">
        <v>500</v>
      </c>
      <c r="J20">
        <v>85</v>
      </c>
      <c r="K20" t="s">
        <v>20</v>
      </c>
    </row>
    <row r="21" spans="1:11" x14ac:dyDescent="0.35">
      <c r="A21">
        <v>2</v>
      </c>
      <c r="B21" t="s">
        <v>16</v>
      </c>
      <c r="C21" t="s">
        <v>17</v>
      </c>
      <c r="D21" t="s">
        <v>18</v>
      </c>
      <c r="E21" t="s">
        <v>19</v>
      </c>
      <c r="F21">
        <v>2024</v>
      </c>
      <c r="G21">
        <v>2</v>
      </c>
      <c r="H21">
        <v>900</v>
      </c>
      <c r="I21">
        <v>1800</v>
      </c>
      <c r="J21">
        <v>300</v>
      </c>
      <c r="K21" t="s">
        <v>20</v>
      </c>
    </row>
    <row r="22" spans="1:11" x14ac:dyDescent="0.35">
      <c r="A22">
        <v>5</v>
      </c>
      <c r="B22" t="s">
        <v>30</v>
      </c>
      <c r="C22" t="s">
        <v>17</v>
      </c>
      <c r="D22" t="s">
        <v>31</v>
      </c>
      <c r="E22" t="s">
        <v>32</v>
      </c>
      <c r="F22">
        <v>2024</v>
      </c>
      <c r="G22">
        <v>4</v>
      </c>
      <c r="H22">
        <v>200</v>
      </c>
      <c r="I22">
        <v>800</v>
      </c>
      <c r="J22">
        <v>160</v>
      </c>
      <c r="K22" t="s">
        <v>33</v>
      </c>
    </row>
    <row r="23" spans="1:11" x14ac:dyDescent="0.35">
      <c r="A23">
        <v>7</v>
      </c>
      <c r="B23" t="s">
        <v>38</v>
      </c>
      <c r="C23" t="s">
        <v>17</v>
      </c>
      <c r="D23" t="s">
        <v>39</v>
      </c>
      <c r="E23" t="s">
        <v>40</v>
      </c>
      <c r="F23">
        <v>2024</v>
      </c>
      <c r="G23">
        <v>3</v>
      </c>
      <c r="H23">
        <v>700</v>
      </c>
      <c r="I23">
        <v>2100</v>
      </c>
      <c r="J23">
        <v>420</v>
      </c>
      <c r="K23" t="s">
        <v>15</v>
      </c>
    </row>
    <row r="24" spans="1:11" x14ac:dyDescent="0.35">
      <c r="A24">
        <v>10</v>
      </c>
      <c r="B24" t="s">
        <v>48</v>
      </c>
      <c r="C24" t="s">
        <v>17</v>
      </c>
      <c r="D24" t="s">
        <v>49</v>
      </c>
      <c r="E24" t="s">
        <v>50</v>
      </c>
      <c r="F24">
        <v>2024</v>
      </c>
      <c r="G24">
        <v>4</v>
      </c>
      <c r="H24">
        <v>350</v>
      </c>
      <c r="I24">
        <v>1400</v>
      </c>
      <c r="J24">
        <v>210</v>
      </c>
      <c r="K24" t="s">
        <v>51</v>
      </c>
    </row>
    <row r="25" spans="1:11" x14ac:dyDescent="0.35">
      <c r="A25">
        <v>13</v>
      </c>
      <c r="B25" t="s">
        <v>58</v>
      </c>
      <c r="C25" t="s">
        <v>17</v>
      </c>
      <c r="D25" t="s">
        <v>59</v>
      </c>
      <c r="E25" t="s">
        <v>32</v>
      </c>
      <c r="F25">
        <v>2025</v>
      </c>
      <c r="G25">
        <v>10</v>
      </c>
      <c r="H25">
        <v>80</v>
      </c>
      <c r="I25">
        <v>800</v>
      </c>
      <c r="J25">
        <v>140</v>
      </c>
      <c r="K25" t="s">
        <v>15</v>
      </c>
    </row>
    <row r="26" spans="1:11" x14ac:dyDescent="0.35">
      <c r="A26">
        <v>16</v>
      </c>
      <c r="B26" t="s">
        <v>65</v>
      </c>
      <c r="C26" t="s">
        <v>17</v>
      </c>
      <c r="D26" t="s">
        <v>66</v>
      </c>
      <c r="E26" t="s">
        <v>67</v>
      </c>
      <c r="F26">
        <v>2025</v>
      </c>
      <c r="G26">
        <v>3</v>
      </c>
      <c r="H26">
        <v>150</v>
      </c>
      <c r="I26">
        <v>450</v>
      </c>
      <c r="J26">
        <v>90</v>
      </c>
      <c r="K26" t="s">
        <v>20</v>
      </c>
    </row>
    <row r="27" spans="1:11" x14ac:dyDescent="0.35">
      <c r="A27">
        <v>19</v>
      </c>
      <c r="B27" t="s">
        <v>73</v>
      </c>
      <c r="C27" t="s">
        <v>17</v>
      </c>
      <c r="D27" t="s">
        <v>74</v>
      </c>
      <c r="E27" t="s">
        <v>32</v>
      </c>
      <c r="F27">
        <v>2025</v>
      </c>
      <c r="G27">
        <v>12</v>
      </c>
      <c r="H27">
        <v>45</v>
      </c>
      <c r="I27">
        <v>540</v>
      </c>
      <c r="J27">
        <v>95</v>
      </c>
      <c r="K27" t="s">
        <v>15</v>
      </c>
    </row>
    <row r="28" spans="1:11" x14ac:dyDescent="0.35">
      <c r="A28">
        <v>22</v>
      </c>
      <c r="B28" t="s">
        <v>79</v>
      </c>
      <c r="C28" t="s">
        <v>17</v>
      </c>
      <c r="D28" t="s">
        <v>80</v>
      </c>
      <c r="E28" t="s">
        <v>28</v>
      </c>
      <c r="F28">
        <v>2026</v>
      </c>
      <c r="G28">
        <v>5</v>
      </c>
      <c r="H28">
        <v>120</v>
      </c>
      <c r="I28">
        <v>600</v>
      </c>
      <c r="J28">
        <v>120</v>
      </c>
      <c r="K28" t="s">
        <v>44</v>
      </c>
    </row>
    <row r="29" spans="1:11" x14ac:dyDescent="0.35">
      <c r="A29">
        <v>25</v>
      </c>
      <c r="B29" t="s">
        <v>85</v>
      </c>
      <c r="C29" t="s">
        <v>17</v>
      </c>
      <c r="D29" t="s">
        <v>86</v>
      </c>
      <c r="E29" t="s">
        <v>14</v>
      </c>
      <c r="F29">
        <v>2026</v>
      </c>
      <c r="G29">
        <v>8</v>
      </c>
      <c r="H29">
        <v>70</v>
      </c>
      <c r="I29">
        <v>560</v>
      </c>
      <c r="J29">
        <v>95</v>
      </c>
      <c r="K29" t="s">
        <v>15</v>
      </c>
    </row>
    <row r="30" spans="1:11" x14ac:dyDescent="0.35">
      <c r="A30">
        <v>27</v>
      </c>
      <c r="B30" t="s">
        <v>90</v>
      </c>
      <c r="C30" t="s">
        <v>17</v>
      </c>
      <c r="D30" t="s">
        <v>91</v>
      </c>
      <c r="E30" t="s">
        <v>67</v>
      </c>
      <c r="F30">
        <v>2026</v>
      </c>
      <c r="G30">
        <v>1</v>
      </c>
      <c r="H30">
        <v>2500</v>
      </c>
      <c r="I30">
        <v>2500</v>
      </c>
      <c r="J30">
        <v>500</v>
      </c>
      <c r="K30" t="s">
        <v>33</v>
      </c>
    </row>
    <row r="31" spans="1:11" x14ac:dyDescent="0.35">
      <c r="A31">
        <v>30</v>
      </c>
      <c r="B31" t="s">
        <v>96</v>
      </c>
      <c r="C31" t="s">
        <v>17</v>
      </c>
      <c r="D31" t="s">
        <v>97</v>
      </c>
      <c r="E31" t="s">
        <v>43</v>
      </c>
      <c r="F31">
        <v>2026</v>
      </c>
      <c r="G31">
        <v>5</v>
      </c>
      <c r="H31">
        <v>250</v>
      </c>
      <c r="I31">
        <v>1250</v>
      </c>
      <c r="J31">
        <v>220</v>
      </c>
      <c r="K31"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FA23-B47D-4826-8D4C-BE78D86AFD93}">
  <sheetPr>
    <tabColor theme="9" tint="-0.249977111117893"/>
  </sheetPr>
  <dimension ref="A3:X35"/>
  <sheetViews>
    <sheetView zoomScale="70" zoomScaleNormal="70" workbookViewId="0">
      <selection activeCell="A8" sqref="A8"/>
    </sheetView>
  </sheetViews>
  <sheetFormatPr defaultRowHeight="15.5" x14ac:dyDescent="0.35"/>
  <cols>
    <col min="1" max="1" width="12" bestFit="1" customWidth="1"/>
    <col min="2" max="2" width="11.75" bestFit="1" customWidth="1"/>
    <col min="3" max="3" width="13.5" bestFit="1" customWidth="1"/>
    <col min="4" max="4" width="12" bestFit="1" customWidth="1"/>
    <col min="6" max="6" width="13.5" bestFit="1" customWidth="1"/>
    <col min="7" max="7" width="18.6640625" bestFit="1" customWidth="1"/>
    <col min="11" max="11" width="18" customWidth="1"/>
    <col min="12" max="12" width="11.83203125" bestFit="1" customWidth="1"/>
    <col min="14" max="14" width="11.1640625" bestFit="1" customWidth="1"/>
    <col min="15" max="15" width="18.6640625" bestFit="1" customWidth="1"/>
    <col min="16" max="16" width="9.33203125" bestFit="1" customWidth="1"/>
    <col min="17" max="17" width="13.5" bestFit="1" customWidth="1"/>
    <col min="18" max="18" width="18.6640625" bestFit="1" customWidth="1"/>
    <col min="20" max="20" width="14.1640625" bestFit="1" customWidth="1"/>
    <col min="21" max="21" width="11.1640625" bestFit="1" customWidth="1"/>
    <col min="23" max="23" width="13.5" bestFit="1" customWidth="1"/>
    <col min="24" max="24" width="18.6640625" bestFit="1" customWidth="1"/>
  </cols>
  <sheetData>
    <row r="3" spans="1:24" ht="21" x14ac:dyDescent="0.5">
      <c r="A3" t="s">
        <v>98</v>
      </c>
      <c r="C3" t="s">
        <v>99</v>
      </c>
      <c r="F3" s="11" t="s">
        <v>104</v>
      </c>
      <c r="G3" s="11"/>
      <c r="K3" s="6" t="s">
        <v>3</v>
      </c>
      <c r="L3" s="6" t="s">
        <v>8</v>
      </c>
      <c r="N3" s="11" t="s">
        <v>105</v>
      </c>
      <c r="O3" s="11"/>
      <c r="Q3" s="10" t="s">
        <v>106</v>
      </c>
      <c r="R3" s="10"/>
      <c r="T3" s="11" t="s">
        <v>107</v>
      </c>
      <c r="U3" s="11"/>
      <c r="W3" s="11" t="s">
        <v>108</v>
      </c>
      <c r="X3" s="11"/>
    </row>
    <row r="4" spans="1:24" x14ac:dyDescent="0.35">
      <c r="A4" s="9">
        <v>24170</v>
      </c>
      <c r="C4" s="4" t="s">
        <v>102</v>
      </c>
      <c r="D4" t="s">
        <v>100</v>
      </c>
      <c r="F4" s="4" t="s">
        <v>102</v>
      </c>
      <c r="G4" t="s">
        <v>98</v>
      </c>
      <c r="K4" s="2" t="s">
        <v>13</v>
      </c>
      <c r="L4" s="2">
        <v>600</v>
      </c>
      <c r="O4" t="s">
        <v>98</v>
      </c>
      <c r="Q4" s="4" t="s">
        <v>102</v>
      </c>
      <c r="R4" t="s">
        <v>98</v>
      </c>
      <c r="T4" s="4" t="s">
        <v>102</v>
      </c>
      <c r="U4" t="s">
        <v>101</v>
      </c>
      <c r="W4" s="4" t="s">
        <v>102</v>
      </c>
      <c r="X4" t="s">
        <v>98</v>
      </c>
    </row>
    <row r="5" spans="1:24" x14ac:dyDescent="0.35">
      <c r="C5" s="5">
        <v>2024</v>
      </c>
      <c r="D5" s="12">
        <v>1600</v>
      </c>
      <c r="F5" s="5" t="s">
        <v>12</v>
      </c>
      <c r="G5" s="12">
        <v>7000</v>
      </c>
      <c r="K5" s="2" t="s">
        <v>18</v>
      </c>
      <c r="L5" s="2">
        <v>1800</v>
      </c>
      <c r="N5" s="5" t="s">
        <v>91</v>
      </c>
      <c r="O5" s="9">
        <v>2500</v>
      </c>
      <c r="Q5" s="5" t="s">
        <v>44</v>
      </c>
      <c r="R5" s="12">
        <v>960</v>
      </c>
      <c r="T5" s="5" t="s">
        <v>13</v>
      </c>
      <c r="U5" s="12">
        <v>2024</v>
      </c>
      <c r="W5" s="5" t="s">
        <v>14</v>
      </c>
      <c r="X5" s="12">
        <v>2400</v>
      </c>
    </row>
    <row r="6" spans="1:24" ht="22" customHeight="1" x14ac:dyDescent="0.35">
      <c r="C6" s="5">
        <v>2025</v>
      </c>
      <c r="D6" s="12">
        <v>935</v>
      </c>
      <c r="F6" s="5" t="s">
        <v>22</v>
      </c>
      <c r="G6" s="12">
        <v>4370</v>
      </c>
      <c r="K6" s="2" t="s">
        <v>23</v>
      </c>
      <c r="L6" s="2">
        <v>500</v>
      </c>
      <c r="N6" s="5" t="s">
        <v>49</v>
      </c>
      <c r="O6" s="9">
        <v>1400</v>
      </c>
      <c r="Q6" s="5" t="s">
        <v>15</v>
      </c>
      <c r="R6" s="12">
        <v>5850</v>
      </c>
      <c r="T6" s="5" t="s">
        <v>71</v>
      </c>
      <c r="U6" s="12">
        <v>2025</v>
      </c>
      <c r="W6" s="5" t="s">
        <v>19</v>
      </c>
      <c r="X6" s="12">
        <v>2250</v>
      </c>
    </row>
    <row r="7" spans="1:24" x14ac:dyDescent="0.35">
      <c r="A7" t="s">
        <v>100</v>
      </c>
      <c r="C7" s="5">
        <v>2026</v>
      </c>
      <c r="D7" s="12">
        <v>1740</v>
      </c>
      <c r="F7" s="5" t="s">
        <v>17</v>
      </c>
      <c r="G7" s="12">
        <v>12800</v>
      </c>
      <c r="K7" s="2" t="s">
        <v>27</v>
      </c>
      <c r="L7" s="2">
        <v>750</v>
      </c>
      <c r="N7" s="5" t="s">
        <v>39</v>
      </c>
      <c r="O7" s="9">
        <v>2100</v>
      </c>
      <c r="Q7" s="5" t="s">
        <v>51</v>
      </c>
      <c r="R7" s="12">
        <v>2800</v>
      </c>
      <c r="T7" s="5" t="s">
        <v>23</v>
      </c>
      <c r="U7" s="12">
        <v>2024</v>
      </c>
      <c r="W7" s="5" t="s">
        <v>24</v>
      </c>
      <c r="X7" s="12">
        <v>2430</v>
      </c>
    </row>
    <row r="8" spans="1:24" x14ac:dyDescent="0.35">
      <c r="A8" s="9">
        <v>4275</v>
      </c>
      <c r="C8" s="5" t="s">
        <v>103</v>
      </c>
      <c r="D8" s="12">
        <v>4275</v>
      </c>
      <c r="F8" s="5" t="s">
        <v>103</v>
      </c>
      <c r="G8" s="12">
        <v>24170</v>
      </c>
      <c r="K8" s="2" t="s">
        <v>31</v>
      </c>
      <c r="L8" s="2">
        <v>800</v>
      </c>
      <c r="N8" s="5" t="s">
        <v>18</v>
      </c>
      <c r="O8" s="9">
        <v>1800</v>
      </c>
      <c r="Q8" s="5" t="s">
        <v>29</v>
      </c>
      <c r="R8" s="12">
        <v>1550</v>
      </c>
      <c r="T8" s="5" t="s">
        <v>82</v>
      </c>
      <c r="U8" s="12">
        <v>2026</v>
      </c>
      <c r="W8" s="5" t="s">
        <v>28</v>
      </c>
      <c r="X8" s="12">
        <v>1350</v>
      </c>
    </row>
    <row r="9" spans="1:24" x14ac:dyDescent="0.35">
      <c r="K9" s="2" t="s">
        <v>35</v>
      </c>
      <c r="L9" s="2">
        <v>450</v>
      </c>
      <c r="N9" s="5" t="s">
        <v>93</v>
      </c>
      <c r="O9" s="9">
        <v>1400</v>
      </c>
      <c r="Q9" s="5" t="s">
        <v>64</v>
      </c>
      <c r="R9" s="12">
        <v>480</v>
      </c>
      <c r="T9" s="5" t="s">
        <v>91</v>
      </c>
      <c r="U9" s="12">
        <v>2026</v>
      </c>
      <c r="W9" s="5" t="s">
        <v>32</v>
      </c>
      <c r="X9" s="12">
        <v>2650</v>
      </c>
    </row>
    <row r="10" spans="1:24" x14ac:dyDescent="0.35">
      <c r="K10" s="2" t="s">
        <v>39</v>
      </c>
      <c r="L10" s="2">
        <v>2100</v>
      </c>
      <c r="N10" s="5" t="s">
        <v>103</v>
      </c>
      <c r="O10" s="12">
        <v>9200</v>
      </c>
      <c r="Q10" s="5" t="s">
        <v>37</v>
      </c>
      <c r="R10" s="12">
        <v>450</v>
      </c>
      <c r="T10" s="5" t="s">
        <v>56</v>
      </c>
      <c r="U10" s="12">
        <v>2025</v>
      </c>
      <c r="W10" s="5" t="s">
        <v>36</v>
      </c>
      <c r="X10" s="12">
        <v>450</v>
      </c>
    </row>
    <row r="11" spans="1:24" x14ac:dyDescent="0.35">
      <c r="K11" s="2" t="s">
        <v>42</v>
      </c>
      <c r="L11" s="2">
        <v>360</v>
      </c>
      <c r="Q11" s="5" t="s">
        <v>54</v>
      </c>
      <c r="R11" s="12">
        <v>1240</v>
      </c>
      <c r="T11" s="5" t="s">
        <v>80</v>
      </c>
      <c r="U11" s="12">
        <v>2026</v>
      </c>
      <c r="W11" s="5" t="s">
        <v>40</v>
      </c>
      <c r="X11" s="12">
        <v>3000</v>
      </c>
    </row>
    <row r="12" spans="1:24" x14ac:dyDescent="0.35">
      <c r="K12" s="2" t="s">
        <v>46</v>
      </c>
      <c r="L12" s="2">
        <v>500</v>
      </c>
      <c r="Q12" s="5" t="s">
        <v>25</v>
      </c>
      <c r="R12" s="12">
        <v>1310</v>
      </c>
      <c r="T12" s="5" t="s">
        <v>76</v>
      </c>
      <c r="U12" s="12">
        <v>2025</v>
      </c>
      <c r="W12" s="5" t="s">
        <v>43</v>
      </c>
      <c r="X12" s="12">
        <v>1610</v>
      </c>
    </row>
    <row r="13" spans="1:24" x14ac:dyDescent="0.35">
      <c r="K13" s="2" t="s">
        <v>49</v>
      </c>
      <c r="L13" s="2">
        <v>1400</v>
      </c>
      <c r="Q13" s="5" t="s">
        <v>72</v>
      </c>
      <c r="R13" s="12">
        <v>480</v>
      </c>
      <c r="T13" s="5" t="s">
        <v>49</v>
      </c>
      <c r="U13" s="12">
        <v>2024</v>
      </c>
      <c r="W13" s="5" t="s">
        <v>47</v>
      </c>
      <c r="X13" s="12">
        <v>1480</v>
      </c>
    </row>
    <row r="14" spans="1:24" x14ac:dyDescent="0.35">
      <c r="F14" t="s">
        <v>2</v>
      </c>
      <c r="G14" t="s">
        <v>109</v>
      </c>
      <c r="K14" s="2" t="s">
        <v>53</v>
      </c>
      <c r="L14" s="2">
        <v>440</v>
      </c>
      <c r="Q14" s="5" t="s">
        <v>57</v>
      </c>
      <c r="R14" s="12">
        <v>950</v>
      </c>
      <c r="T14" s="5" t="s">
        <v>39</v>
      </c>
      <c r="U14" s="12">
        <v>2024</v>
      </c>
      <c r="W14" s="5" t="s">
        <v>50</v>
      </c>
      <c r="X14" s="12">
        <v>2800</v>
      </c>
    </row>
    <row r="15" spans="1:24" x14ac:dyDescent="0.35">
      <c r="F15" t="str">
        <f>F5</f>
        <v>Furniture</v>
      </c>
      <c r="G15" s="7">
        <f>GETPIVOTDATA("SalesAmount",$F$4,"Category","Furniture")</f>
        <v>7000</v>
      </c>
      <c r="K15" s="2" t="s">
        <v>56</v>
      </c>
      <c r="L15" s="2">
        <v>500</v>
      </c>
      <c r="Q15" s="5" t="s">
        <v>20</v>
      </c>
      <c r="R15" s="12">
        <v>4200</v>
      </c>
      <c r="T15" s="5" t="s">
        <v>69</v>
      </c>
      <c r="U15" s="12">
        <v>2025</v>
      </c>
      <c r="W15" s="5" t="s">
        <v>67</v>
      </c>
      <c r="X15" s="12">
        <v>2950</v>
      </c>
    </row>
    <row r="16" spans="1:24" x14ac:dyDescent="0.35">
      <c r="F16" t="str">
        <f t="shared" ref="F16:F17" si="0">F6</f>
        <v>Office Supplies</v>
      </c>
      <c r="G16" s="7">
        <f>GETPIVOTDATA("SalesAmount",$F$4,"Category","Office Supplies")</f>
        <v>4370</v>
      </c>
      <c r="K16" s="2" t="s">
        <v>59</v>
      </c>
      <c r="L16" s="2">
        <v>800</v>
      </c>
      <c r="Q16" s="5" t="s">
        <v>33</v>
      </c>
      <c r="R16" s="12">
        <v>3900</v>
      </c>
      <c r="T16" s="5" t="s">
        <v>97</v>
      </c>
      <c r="U16" s="12">
        <v>2026</v>
      </c>
      <c r="W16" s="5" t="s">
        <v>89</v>
      </c>
      <c r="X16" s="12">
        <v>800</v>
      </c>
    </row>
    <row r="17" spans="6:24" x14ac:dyDescent="0.35">
      <c r="F17" t="str">
        <f t="shared" si="0"/>
        <v>Technology</v>
      </c>
      <c r="G17" s="7">
        <f>GETPIVOTDATA("SalesAmount",$F$4,"Category","Technology")</f>
        <v>12800</v>
      </c>
      <c r="K17" s="2" t="s">
        <v>61</v>
      </c>
      <c r="L17" s="2">
        <v>300</v>
      </c>
      <c r="Q17" s="5" t="s">
        <v>103</v>
      </c>
      <c r="R17" s="12">
        <v>24170</v>
      </c>
      <c r="T17" s="5" t="s">
        <v>74</v>
      </c>
      <c r="U17" s="12">
        <v>2025</v>
      </c>
      <c r="W17" s="5" t="s">
        <v>103</v>
      </c>
      <c r="X17" s="12">
        <v>24170</v>
      </c>
    </row>
    <row r="18" spans="6:24" x14ac:dyDescent="0.35">
      <c r="K18" s="2" t="s">
        <v>63</v>
      </c>
      <c r="L18" s="2">
        <v>480</v>
      </c>
      <c r="T18" s="5" t="s">
        <v>27</v>
      </c>
      <c r="U18" s="12">
        <v>2024</v>
      </c>
    </row>
    <row r="19" spans="6:24" x14ac:dyDescent="0.35">
      <c r="K19" s="2" t="s">
        <v>66</v>
      </c>
      <c r="L19" s="2">
        <v>450</v>
      </c>
      <c r="T19" s="5" t="s">
        <v>18</v>
      </c>
      <c r="U19" s="12">
        <v>2024</v>
      </c>
    </row>
    <row r="20" spans="6:24" x14ac:dyDescent="0.35">
      <c r="K20" s="2" t="s">
        <v>69</v>
      </c>
      <c r="L20" s="2">
        <v>800</v>
      </c>
      <c r="T20" s="5" t="s">
        <v>61</v>
      </c>
      <c r="U20" s="12">
        <v>2025</v>
      </c>
    </row>
    <row r="21" spans="6:24" x14ac:dyDescent="0.35">
      <c r="K21" s="2" t="s">
        <v>71</v>
      </c>
      <c r="L21" s="2">
        <v>480</v>
      </c>
      <c r="O21" t="s">
        <v>10</v>
      </c>
      <c r="P21" t="s">
        <v>109</v>
      </c>
      <c r="T21" s="5" t="s">
        <v>63</v>
      </c>
      <c r="U21" s="12">
        <v>2025</v>
      </c>
    </row>
    <row r="22" spans="6:24" x14ac:dyDescent="0.35">
      <c r="K22" s="2" t="s">
        <v>74</v>
      </c>
      <c r="L22" s="2">
        <v>540</v>
      </c>
      <c r="O22" t="str">
        <f>Q5</f>
        <v>Arizona</v>
      </c>
      <c r="P22" s="8">
        <f>GETPIVOTDATA("SalesAmount",$Q$4,"State","Arizona")</f>
        <v>960</v>
      </c>
      <c r="T22" s="5" t="s">
        <v>86</v>
      </c>
      <c r="U22" s="12">
        <v>2026</v>
      </c>
    </row>
    <row r="23" spans="6:24" x14ac:dyDescent="0.35">
      <c r="K23" s="2" t="s">
        <v>76</v>
      </c>
      <c r="L23" s="2">
        <v>600</v>
      </c>
      <c r="O23" t="str">
        <f t="shared" ref="O23:O33" si="1">Q6</f>
        <v>California</v>
      </c>
      <c r="P23" s="8">
        <f>GETPIVOTDATA("SalesAmount",$Q$4,"State","California")</f>
        <v>5850</v>
      </c>
      <c r="T23" s="5" t="s">
        <v>53</v>
      </c>
      <c r="U23" s="12">
        <v>2025</v>
      </c>
    </row>
    <row r="24" spans="6:24" x14ac:dyDescent="0.35">
      <c r="K24" s="2" t="s">
        <v>78</v>
      </c>
      <c r="L24" s="2">
        <v>510</v>
      </c>
      <c r="O24" t="str">
        <f t="shared" si="1"/>
        <v>Colorado</v>
      </c>
      <c r="P24" s="8">
        <f>GETPIVOTDATA("SalesAmount",$Q$4,"State","Colorado")</f>
        <v>2800</v>
      </c>
      <c r="T24" s="5" t="s">
        <v>66</v>
      </c>
      <c r="U24" s="12">
        <v>2025</v>
      </c>
    </row>
    <row r="25" spans="6:24" x14ac:dyDescent="0.35">
      <c r="K25" s="2" t="s">
        <v>80</v>
      </c>
      <c r="L25" s="2">
        <v>600</v>
      </c>
      <c r="O25" t="str">
        <f t="shared" si="1"/>
        <v>Florida</v>
      </c>
      <c r="P25" s="8">
        <f>GETPIVOTDATA("SalesAmount",$Q$4,"State","Florida")</f>
        <v>1550</v>
      </c>
      <c r="T25" s="5" t="s">
        <v>95</v>
      </c>
      <c r="U25" s="12">
        <v>2026</v>
      </c>
    </row>
    <row r="26" spans="6:24" x14ac:dyDescent="0.35">
      <c r="K26" s="2" t="s">
        <v>82</v>
      </c>
      <c r="L26" s="2">
        <v>950</v>
      </c>
      <c r="O26" t="str">
        <f t="shared" si="1"/>
        <v>Georgia</v>
      </c>
      <c r="P26" s="8">
        <f>GETPIVOTDATA("SalesAmount",$Q$4,"State","Georgia")</f>
        <v>480</v>
      </c>
      <c r="T26" s="5" t="s">
        <v>35</v>
      </c>
      <c r="U26" s="12">
        <v>2024</v>
      </c>
    </row>
    <row r="27" spans="6:24" x14ac:dyDescent="0.35">
      <c r="K27" s="2" t="s">
        <v>84</v>
      </c>
      <c r="L27" s="2">
        <v>450</v>
      </c>
      <c r="O27" t="str">
        <f t="shared" si="1"/>
        <v>Illinois</v>
      </c>
      <c r="P27" s="8">
        <f>GETPIVOTDATA("SalesAmount",$Q$4,"State","Illinois")</f>
        <v>450</v>
      </c>
      <c r="T27" s="5" t="s">
        <v>78</v>
      </c>
      <c r="U27" s="12">
        <v>2026</v>
      </c>
    </row>
    <row r="28" spans="6:24" x14ac:dyDescent="0.35">
      <c r="K28" s="2" t="s">
        <v>86</v>
      </c>
      <c r="L28" s="2">
        <v>560</v>
      </c>
      <c r="O28" t="str">
        <f t="shared" si="1"/>
        <v>Nevada</v>
      </c>
      <c r="P28" s="8">
        <f>GETPIVOTDATA("SalesAmount",$Q$4,"State","Nevada")</f>
        <v>1240</v>
      </c>
      <c r="T28" s="5" t="s">
        <v>46</v>
      </c>
      <c r="U28" s="12">
        <v>2024</v>
      </c>
    </row>
    <row r="29" spans="6:24" x14ac:dyDescent="0.35">
      <c r="K29" s="2" t="s">
        <v>88</v>
      </c>
      <c r="L29" s="2">
        <v>800</v>
      </c>
      <c r="O29" t="str">
        <f t="shared" si="1"/>
        <v>New York</v>
      </c>
      <c r="P29" s="8">
        <f>GETPIVOTDATA("SalesAmount",$Q$4,"State","New York")</f>
        <v>1310</v>
      </c>
      <c r="T29" s="5" t="s">
        <v>59</v>
      </c>
      <c r="U29" s="12">
        <v>2025</v>
      </c>
    </row>
    <row r="30" spans="6:24" x14ac:dyDescent="0.35">
      <c r="K30" s="2" t="s">
        <v>91</v>
      </c>
      <c r="L30" s="2">
        <v>2500</v>
      </c>
      <c r="O30" t="str">
        <f t="shared" si="1"/>
        <v>Ohio</v>
      </c>
      <c r="P30" s="8">
        <f>GETPIVOTDATA("SalesAmount",$Q$4,"State","Ohio")</f>
        <v>480</v>
      </c>
      <c r="T30" s="5" t="s">
        <v>93</v>
      </c>
      <c r="U30" s="12">
        <v>2026</v>
      </c>
    </row>
    <row r="31" spans="6:24" x14ac:dyDescent="0.35">
      <c r="K31" s="2" t="s">
        <v>93</v>
      </c>
      <c r="L31" s="2">
        <v>1400</v>
      </c>
      <c r="O31" t="str">
        <f t="shared" si="1"/>
        <v>Oregon</v>
      </c>
      <c r="P31" s="8">
        <f>GETPIVOTDATA("SalesAmount",$Q$4,"State","Oregon")</f>
        <v>950</v>
      </c>
      <c r="T31" s="5" t="s">
        <v>84</v>
      </c>
      <c r="U31" s="12">
        <v>2026</v>
      </c>
    </row>
    <row r="32" spans="6:24" x14ac:dyDescent="0.35">
      <c r="K32" s="2" t="s">
        <v>95</v>
      </c>
      <c r="L32" s="2">
        <v>500</v>
      </c>
      <c r="O32" t="str">
        <f t="shared" si="1"/>
        <v>Texas</v>
      </c>
      <c r="P32" s="8">
        <f>GETPIVOTDATA("SalesAmount",$Q$4,"State","Texas")</f>
        <v>4200</v>
      </c>
      <c r="T32" s="5" t="s">
        <v>31</v>
      </c>
      <c r="U32" s="12">
        <v>2024</v>
      </c>
    </row>
    <row r="33" spans="11:21" x14ac:dyDescent="0.35">
      <c r="K33" s="3" t="s">
        <v>97</v>
      </c>
      <c r="L33" s="3">
        <v>1250</v>
      </c>
      <c r="O33" t="str">
        <f t="shared" si="1"/>
        <v>Washington</v>
      </c>
      <c r="P33" s="8">
        <f>GETPIVOTDATA("SalesAmount",$Q$4,"State","Washington")</f>
        <v>3900</v>
      </c>
      <c r="T33" s="5" t="s">
        <v>42</v>
      </c>
      <c r="U33" s="12">
        <v>2024</v>
      </c>
    </row>
    <row r="34" spans="11:21" x14ac:dyDescent="0.35">
      <c r="T34" s="5" t="s">
        <v>88</v>
      </c>
      <c r="U34" s="12">
        <v>2026</v>
      </c>
    </row>
    <row r="35" spans="11:21" x14ac:dyDescent="0.35">
      <c r="T35" s="5" t="s">
        <v>103</v>
      </c>
      <c r="U35" s="12">
        <v>60750</v>
      </c>
    </row>
  </sheetData>
  <mergeCells count="5">
    <mergeCell ref="Q3:R3"/>
    <mergeCell ref="N3:O3"/>
    <mergeCell ref="T3:U3"/>
    <mergeCell ref="W3:X3"/>
    <mergeCell ref="F3:G3"/>
  </mergeCells>
  <pageMargins left="0.7" right="0.7" top="0.75" bottom="0.75" header="0.3" footer="0.3"/>
  <pageSetup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AD751-AF60-4B64-A58F-F3FF5D64E1B2}">
  <dimension ref="A1"/>
  <sheetViews>
    <sheetView showGridLines="0" tabSelected="1" topLeftCell="A2" zoomScale="56" zoomScaleNormal="50" workbookViewId="0">
      <selection activeCell="U30" sqref="U30"/>
    </sheetView>
  </sheetViews>
  <sheetFormatPr defaultRowHeight="15.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AA165-42B5-4E9F-B2B2-625A29C8BCD2}">
  <dimension ref="A1"/>
  <sheetViews>
    <sheetView workbookViewId="0"/>
  </sheetViews>
  <sheetFormatPr defaultRowHeight="15.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8BA59-FB70-AB4D-8AF1-39A35CCB49DE}">
  <sheetPr>
    <tabColor theme="4"/>
  </sheetPr>
  <dimension ref="A1:K31"/>
  <sheetViews>
    <sheetView showGridLines="0" workbookViewId="0">
      <selection activeCell="D1" sqref="D1"/>
    </sheetView>
  </sheetViews>
  <sheetFormatPr defaultColWidth="10.6640625" defaultRowHeight="15.5" x14ac:dyDescent="0.35"/>
  <cols>
    <col min="1" max="1" width="8.58203125" customWidth="1"/>
    <col min="2" max="2" width="16.75" bestFit="1" customWidth="1"/>
    <col min="3" max="3" width="13" bestFit="1" customWidth="1"/>
    <col min="4" max="4" width="18.4140625" customWidth="1"/>
    <col min="5" max="5" width="12.08203125" customWidth="1"/>
    <col min="9" max="9" width="13.66406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1</v>
      </c>
      <c r="B2" t="s">
        <v>11</v>
      </c>
      <c r="C2" t="s">
        <v>12</v>
      </c>
      <c r="D2" t="s">
        <v>13</v>
      </c>
      <c r="E2" t="s">
        <v>14</v>
      </c>
      <c r="F2">
        <v>2024</v>
      </c>
      <c r="G2">
        <v>5</v>
      </c>
      <c r="H2">
        <v>120</v>
      </c>
      <c r="I2">
        <v>600</v>
      </c>
      <c r="J2">
        <v>90</v>
      </c>
      <c r="K2" t="s">
        <v>15</v>
      </c>
    </row>
    <row r="3" spans="1:11" x14ac:dyDescent="0.35">
      <c r="A3">
        <v>2</v>
      </c>
      <c r="B3" t="s">
        <v>16</v>
      </c>
      <c r="C3" t="s">
        <v>17</v>
      </c>
      <c r="D3" t="s">
        <v>18</v>
      </c>
      <c r="E3" t="s">
        <v>19</v>
      </c>
      <c r="F3">
        <v>2024</v>
      </c>
      <c r="G3">
        <v>2</v>
      </c>
      <c r="H3">
        <v>900</v>
      </c>
      <c r="I3">
        <v>1800</v>
      </c>
      <c r="J3">
        <v>300</v>
      </c>
      <c r="K3" t="s">
        <v>20</v>
      </c>
    </row>
    <row r="4" spans="1:11" x14ac:dyDescent="0.35">
      <c r="A4">
        <v>3</v>
      </c>
      <c r="B4" t="s">
        <v>21</v>
      </c>
      <c r="C4" t="s">
        <v>22</v>
      </c>
      <c r="D4" t="s">
        <v>23</v>
      </c>
      <c r="E4" t="s">
        <v>24</v>
      </c>
      <c r="F4">
        <v>2024</v>
      </c>
      <c r="G4">
        <v>20</v>
      </c>
      <c r="H4">
        <v>25</v>
      </c>
      <c r="I4">
        <v>500</v>
      </c>
      <c r="J4">
        <v>80</v>
      </c>
      <c r="K4" t="s">
        <v>25</v>
      </c>
    </row>
    <row r="5" spans="1:11" x14ac:dyDescent="0.35">
      <c r="A5">
        <v>4</v>
      </c>
      <c r="B5" t="s">
        <v>26</v>
      </c>
      <c r="C5" t="s">
        <v>12</v>
      </c>
      <c r="D5" t="s">
        <v>27</v>
      </c>
      <c r="E5" t="s">
        <v>28</v>
      </c>
      <c r="F5">
        <v>2024</v>
      </c>
      <c r="G5">
        <v>3</v>
      </c>
      <c r="H5">
        <v>250</v>
      </c>
      <c r="I5">
        <v>750</v>
      </c>
      <c r="J5">
        <v>120</v>
      </c>
      <c r="K5" t="s">
        <v>29</v>
      </c>
    </row>
    <row r="6" spans="1:11" x14ac:dyDescent="0.35">
      <c r="A6">
        <v>5</v>
      </c>
      <c r="B6" t="s">
        <v>30</v>
      </c>
      <c r="C6" t="s">
        <v>17</v>
      </c>
      <c r="D6" t="s">
        <v>31</v>
      </c>
      <c r="E6" t="s">
        <v>32</v>
      </c>
      <c r="F6">
        <v>2024</v>
      </c>
      <c r="G6">
        <v>4</v>
      </c>
      <c r="H6">
        <v>200</v>
      </c>
      <c r="I6">
        <v>800</v>
      </c>
      <c r="J6">
        <v>160</v>
      </c>
      <c r="K6" t="s">
        <v>33</v>
      </c>
    </row>
    <row r="7" spans="1:11" x14ac:dyDescent="0.35">
      <c r="A7">
        <v>6</v>
      </c>
      <c r="B7" t="s">
        <v>34</v>
      </c>
      <c r="C7" t="s">
        <v>22</v>
      </c>
      <c r="D7" t="s">
        <v>35</v>
      </c>
      <c r="E7" t="s">
        <v>36</v>
      </c>
      <c r="F7">
        <v>2024</v>
      </c>
      <c r="G7">
        <v>30</v>
      </c>
      <c r="H7">
        <v>15</v>
      </c>
      <c r="I7">
        <v>450</v>
      </c>
      <c r="J7">
        <v>70</v>
      </c>
      <c r="K7" t="s">
        <v>37</v>
      </c>
    </row>
    <row r="8" spans="1:11" x14ac:dyDescent="0.35">
      <c r="A8">
        <v>7</v>
      </c>
      <c r="B8" t="s">
        <v>38</v>
      </c>
      <c r="C8" t="s">
        <v>17</v>
      </c>
      <c r="D8" t="s">
        <v>39</v>
      </c>
      <c r="E8" t="s">
        <v>40</v>
      </c>
      <c r="F8">
        <v>2024</v>
      </c>
      <c r="G8">
        <v>3</v>
      </c>
      <c r="H8">
        <v>700</v>
      </c>
      <c r="I8">
        <v>2100</v>
      </c>
      <c r="J8">
        <v>420</v>
      </c>
      <c r="K8" t="s">
        <v>15</v>
      </c>
    </row>
    <row r="9" spans="1:11" x14ac:dyDescent="0.35">
      <c r="A9">
        <v>8</v>
      </c>
      <c r="B9" t="s">
        <v>41</v>
      </c>
      <c r="C9" t="s">
        <v>12</v>
      </c>
      <c r="D9" t="s">
        <v>42</v>
      </c>
      <c r="E9" t="s">
        <v>43</v>
      </c>
      <c r="F9">
        <v>2024</v>
      </c>
      <c r="G9">
        <v>2</v>
      </c>
      <c r="H9">
        <v>180</v>
      </c>
      <c r="I9">
        <v>360</v>
      </c>
      <c r="J9">
        <v>60</v>
      </c>
      <c r="K9" t="s">
        <v>44</v>
      </c>
    </row>
    <row r="10" spans="1:11" x14ac:dyDescent="0.35">
      <c r="A10">
        <v>9</v>
      </c>
      <c r="B10" t="s">
        <v>45</v>
      </c>
      <c r="C10" t="s">
        <v>22</v>
      </c>
      <c r="D10" t="s">
        <v>46</v>
      </c>
      <c r="E10" t="s">
        <v>47</v>
      </c>
      <c r="F10">
        <v>2024</v>
      </c>
      <c r="G10">
        <v>100</v>
      </c>
      <c r="H10">
        <v>5</v>
      </c>
      <c r="I10">
        <v>500</v>
      </c>
      <c r="J10">
        <v>90</v>
      </c>
      <c r="K10" t="s">
        <v>20</v>
      </c>
    </row>
    <row r="11" spans="1:11" x14ac:dyDescent="0.35">
      <c r="A11">
        <v>10</v>
      </c>
      <c r="B11" t="s">
        <v>48</v>
      </c>
      <c r="C11" t="s">
        <v>17</v>
      </c>
      <c r="D11" t="s">
        <v>49</v>
      </c>
      <c r="E11" t="s">
        <v>50</v>
      </c>
      <c r="F11">
        <v>2024</v>
      </c>
      <c r="G11">
        <v>4</v>
      </c>
      <c r="H11">
        <v>350</v>
      </c>
      <c r="I11">
        <v>1400</v>
      </c>
      <c r="J11">
        <v>210</v>
      </c>
      <c r="K11" t="s">
        <v>51</v>
      </c>
    </row>
    <row r="12" spans="1:11" x14ac:dyDescent="0.35">
      <c r="A12">
        <v>11</v>
      </c>
      <c r="B12" t="s">
        <v>52</v>
      </c>
      <c r="C12" t="s">
        <v>12</v>
      </c>
      <c r="D12" t="s">
        <v>53</v>
      </c>
      <c r="E12" t="s">
        <v>14</v>
      </c>
      <c r="F12">
        <v>2025</v>
      </c>
      <c r="G12">
        <v>2</v>
      </c>
      <c r="H12">
        <v>220</v>
      </c>
      <c r="I12">
        <v>440</v>
      </c>
      <c r="J12">
        <v>75</v>
      </c>
      <c r="K12" t="s">
        <v>54</v>
      </c>
    </row>
    <row r="13" spans="1:11" x14ac:dyDescent="0.35">
      <c r="A13">
        <v>12</v>
      </c>
      <c r="B13" t="s">
        <v>55</v>
      </c>
      <c r="C13" t="s">
        <v>22</v>
      </c>
      <c r="D13" t="s">
        <v>56</v>
      </c>
      <c r="E13" t="s">
        <v>24</v>
      </c>
      <c r="F13">
        <v>2025</v>
      </c>
      <c r="G13">
        <v>50</v>
      </c>
      <c r="H13">
        <v>10</v>
      </c>
      <c r="I13">
        <v>500</v>
      </c>
      <c r="J13">
        <v>85</v>
      </c>
      <c r="K13" t="s">
        <v>57</v>
      </c>
    </row>
    <row r="14" spans="1:11" x14ac:dyDescent="0.35">
      <c r="A14">
        <v>13</v>
      </c>
      <c r="B14" t="s">
        <v>58</v>
      </c>
      <c r="C14" t="s">
        <v>17</v>
      </c>
      <c r="D14" t="s">
        <v>59</v>
      </c>
      <c r="E14" t="s">
        <v>32</v>
      </c>
      <c r="F14">
        <v>2025</v>
      </c>
      <c r="G14">
        <v>10</v>
      </c>
      <c r="H14">
        <v>80</v>
      </c>
      <c r="I14">
        <v>800</v>
      </c>
      <c r="J14">
        <v>140</v>
      </c>
      <c r="K14" t="s">
        <v>15</v>
      </c>
    </row>
    <row r="15" spans="1:11" x14ac:dyDescent="0.35">
      <c r="A15">
        <v>14</v>
      </c>
      <c r="B15" t="s">
        <v>60</v>
      </c>
      <c r="C15" t="s">
        <v>12</v>
      </c>
      <c r="D15" t="s">
        <v>61</v>
      </c>
      <c r="E15" t="s">
        <v>40</v>
      </c>
      <c r="F15">
        <v>2025</v>
      </c>
      <c r="G15">
        <v>1</v>
      </c>
      <c r="H15">
        <v>300</v>
      </c>
      <c r="I15">
        <v>300</v>
      </c>
      <c r="J15">
        <v>55</v>
      </c>
      <c r="K15" t="s">
        <v>25</v>
      </c>
    </row>
    <row r="16" spans="1:11" x14ac:dyDescent="0.35">
      <c r="A16">
        <v>15</v>
      </c>
      <c r="B16" t="s">
        <v>62</v>
      </c>
      <c r="C16" t="s">
        <v>22</v>
      </c>
      <c r="D16" t="s">
        <v>63</v>
      </c>
      <c r="E16" t="s">
        <v>47</v>
      </c>
      <c r="F16">
        <v>2025</v>
      </c>
      <c r="G16">
        <v>40</v>
      </c>
      <c r="H16">
        <v>12</v>
      </c>
      <c r="I16">
        <v>480</v>
      </c>
      <c r="J16">
        <v>65</v>
      </c>
      <c r="K16" t="s">
        <v>64</v>
      </c>
    </row>
    <row r="17" spans="1:11" x14ac:dyDescent="0.35">
      <c r="A17">
        <v>16</v>
      </c>
      <c r="B17" t="s">
        <v>65</v>
      </c>
      <c r="C17" t="s">
        <v>17</v>
      </c>
      <c r="D17" t="s">
        <v>66</v>
      </c>
      <c r="E17" t="s">
        <v>67</v>
      </c>
      <c r="F17">
        <v>2025</v>
      </c>
      <c r="G17">
        <v>3</v>
      </c>
      <c r="H17">
        <v>150</v>
      </c>
      <c r="I17">
        <v>450</v>
      </c>
      <c r="J17">
        <v>90</v>
      </c>
      <c r="K17" t="s">
        <v>20</v>
      </c>
    </row>
    <row r="18" spans="1:11" x14ac:dyDescent="0.35">
      <c r="A18">
        <v>17</v>
      </c>
      <c r="B18" t="s">
        <v>68</v>
      </c>
      <c r="C18" t="s">
        <v>12</v>
      </c>
      <c r="D18" t="s">
        <v>69</v>
      </c>
      <c r="E18" t="s">
        <v>14</v>
      </c>
      <c r="F18">
        <v>2025</v>
      </c>
      <c r="G18">
        <v>1</v>
      </c>
      <c r="H18">
        <v>800</v>
      </c>
      <c r="I18">
        <v>800</v>
      </c>
      <c r="J18">
        <v>150</v>
      </c>
      <c r="K18" t="s">
        <v>29</v>
      </c>
    </row>
    <row r="19" spans="1:11" x14ac:dyDescent="0.35">
      <c r="A19">
        <v>18</v>
      </c>
      <c r="B19" t="s">
        <v>70</v>
      </c>
      <c r="C19" t="s">
        <v>22</v>
      </c>
      <c r="D19" t="s">
        <v>71</v>
      </c>
      <c r="E19" t="s">
        <v>24</v>
      </c>
      <c r="F19">
        <v>2025</v>
      </c>
      <c r="G19">
        <v>60</v>
      </c>
      <c r="H19">
        <v>8</v>
      </c>
      <c r="I19">
        <v>480</v>
      </c>
      <c r="J19">
        <v>70</v>
      </c>
      <c r="K19" t="s">
        <v>72</v>
      </c>
    </row>
    <row r="20" spans="1:11" x14ac:dyDescent="0.35">
      <c r="A20">
        <v>19</v>
      </c>
      <c r="B20" t="s">
        <v>73</v>
      </c>
      <c r="C20" t="s">
        <v>17</v>
      </c>
      <c r="D20" t="s">
        <v>74</v>
      </c>
      <c r="E20" t="s">
        <v>32</v>
      </c>
      <c r="F20">
        <v>2025</v>
      </c>
      <c r="G20">
        <v>12</v>
      </c>
      <c r="H20">
        <v>45</v>
      </c>
      <c r="I20">
        <v>540</v>
      </c>
      <c r="J20">
        <v>95</v>
      </c>
      <c r="K20" t="s">
        <v>15</v>
      </c>
    </row>
    <row r="21" spans="1:11" x14ac:dyDescent="0.35">
      <c r="A21">
        <v>20</v>
      </c>
      <c r="B21" t="s">
        <v>75</v>
      </c>
      <c r="C21" t="s">
        <v>12</v>
      </c>
      <c r="D21" t="s">
        <v>76</v>
      </c>
      <c r="E21" t="s">
        <v>40</v>
      </c>
      <c r="F21">
        <v>2025</v>
      </c>
      <c r="G21">
        <v>1</v>
      </c>
      <c r="H21">
        <v>600</v>
      </c>
      <c r="I21">
        <v>600</v>
      </c>
      <c r="J21">
        <v>110</v>
      </c>
      <c r="K21" t="s">
        <v>33</v>
      </c>
    </row>
    <row r="22" spans="1:11" x14ac:dyDescent="0.35">
      <c r="A22">
        <v>21</v>
      </c>
      <c r="B22" t="s">
        <v>77</v>
      </c>
      <c r="C22" t="s">
        <v>22</v>
      </c>
      <c r="D22" t="s">
        <v>78</v>
      </c>
      <c r="E22" t="s">
        <v>32</v>
      </c>
      <c r="F22">
        <v>2026</v>
      </c>
      <c r="G22">
        <v>6</v>
      </c>
      <c r="H22">
        <v>85</v>
      </c>
      <c r="I22">
        <v>510</v>
      </c>
      <c r="J22">
        <v>100</v>
      </c>
      <c r="K22" t="s">
        <v>25</v>
      </c>
    </row>
    <row r="23" spans="1:11" x14ac:dyDescent="0.35">
      <c r="A23">
        <v>22</v>
      </c>
      <c r="B23" t="s">
        <v>79</v>
      </c>
      <c r="C23" t="s">
        <v>17</v>
      </c>
      <c r="D23" t="s">
        <v>80</v>
      </c>
      <c r="E23" t="s">
        <v>28</v>
      </c>
      <c r="F23">
        <v>2026</v>
      </c>
      <c r="G23">
        <v>5</v>
      </c>
      <c r="H23">
        <v>120</v>
      </c>
      <c r="I23">
        <v>600</v>
      </c>
      <c r="J23">
        <v>120</v>
      </c>
      <c r="K23" t="s">
        <v>44</v>
      </c>
    </row>
    <row r="24" spans="1:11" x14ac:dyDescent="0.35">
      <c r="A24">
        <v>23</v>
      </c>
      <c r="B24" t="s">
        <v>81</v>
      </c>
      <c r="C24" t="s">
        <v>12</v>
      </c>
      <c r="D24" t="s">
        <v>82</v>
      </c>
      <c r="E24" t="s">
        <v>24</v>
      </c>
      <c r="F24">
        <v>2026</v>
      </c>
      <c r="G24">
        <v>1</v>
      </c>
      <c r="H24">
        <v>950</v>
      </c>
      <c r="I24">
        <v>950</v>
      </c>
      <c r="J24">
        <v>180</v>
      </c>
      <c r="K24" t="s">
        <v>20</v>
      </c>
    </row>
    <row r="25" spans="1:11" x14ac:dyDescent="0.35">
      <c r="A25">
        <v>24</v>
      </c>
      <c r="B25" t="s">
        <v>83</v>
      </c>
      <c r="C25" t="s">
        <v>22</v>
      </c>
      <c r="D25" t="s">
        <v>84</v>
      </c>
      <c r="E25" t="s">
        <v>19</v>
      </c>
      <c r="F25">
        <v>2026</v>
      </c>
      <c r="G25">
        <v>150</v>
      </c>
      <c r="H25">
        <v>3</v>
      </c>
      <c r="I25">
        <v>450</v>
      </c>
      <c r="J25">
        <v>60</v>
      </c>
      <c r="K25" t="s">
        <v>57</v>
      </c>
    </row>
    <row r="26" spans="1:11" x14ac:dyDescent="0.35">
      <c r="A26">
        <v>25</v>
      </c>
      <c r="B26" t="s">
        <v>85</v>
      </c>
      <c r="C26" t="s">
        <v>17</v>
      </c>
      <c r="D26" t="s">
        <v>86</v>
      </c>
      <c r="E26" t="s">
        <v>14</v>
      </c>
      <c r="F26">
        <v>2026</v>
      </c>
      <c r="G26">
        <v>8</v>
      </c>
      <c r="H26">
        <v>70</v>
      </c>
      <c r="I26">
        <v>560</v>
      </c>
      <c r="J26">
        <v>95</v>
      </c>
      <c r="K26" t="s">
        <v>15</v>
      </c>
    </row>
    <row r="27" spans="1:11" x14ac:dyDescent="0.35">
      <c r="A27">
        <v>26</v>
      </c>
      <c r="B27" t="s">
        <v>87</v>
      </c>
      <c r="C27" t="s">
        <v>12</v>
      </c>
      <c r="D27" t="s">
        <v>88</v>
      </c>
      <c r="E27" t="s">
        <v>89</v>
      </c>
      <c r="F27">
        <v>2026</v>
      </c>
      <c r="G27">
        <v>2</v>
      </c>
      <c r="H27">
        <v>400</v>
      </c>
      <c r="I27">
        <v>800</v>
      </c>
      <c r="J27">
        <v>140</v>
      </c>
      <c r="K27" t="s">
        <v>54</v>
      </c>
    </row>
    <row r="28" spans="1:11" x14ac:dyDescent="0.35">
      <c r="A28">
        <v>27</v>
      </c>
      <c r="B28" t="s">
        <v>90</v>
      </c>
      <c r="C28" t="s">
        <v>17</v>
      </c>
      <c r="D28" t="s">
        <v>91</v>
      </c>
      <c r="E28" t="s">
        <v>67</v>
      </c>
      <c r="F28">
        <v>2026</v>
      </c>
      <c r="G28">
        <v>1</v>
      </c>
      <c r="H28">
        <v>2500</v>
      </c>
      <c r="I28">
        <v>2500</v>
      </c>
      <c r="J28">
        <v>500</v>
      </c>
      <c r="K28" t="s">
        <v>33</v>
      </c>
    </row>
    <row r="29" spans="1:11" x14ac:dyDescent="0.35">
      <c r="A29">
        <v>28</v>
      </c>
      <c r="B29" t="s">
        <v>92</v>
      </c>
      <c r="C29" t="s">
        <v>12</v>
      </c>
      <c r="D29" t="s">
        <v>93</v>
      </c>
      <c r="E29" t="s">
        <v>50</v>
      </c>
      <c r="F29">
        <v>2026</v>
      </c>
      <c r="G29">
        <v>2</v>
      </c>
      <c r="H29">
        <v>700</v>
      </c>
      <c r="I29">
        <v>1400</v>
      </c>
      <c r="J29">
        <v>240</v>
      </c>
      <c r="K29" t="s">
        <v>51</v>
      </c>
    </row>
    <row r="30" spans="1:11" x14ac:dyDescent="0.35">
      <c r="A30">
        <v>29</v>
      </c>
      <c r="B30" t="s">
        <v>94</v>
      </c>
      <c r="C30" t="s">
        <v>22</v>
      </c>
      <c r="D30" t="s">
        <v>95</v>
      </c>
      <c r="E30" t="s">
        <v>47</v>
      </c>
      <c r="F30">
        <v>2026</v>
      </c>
      <c r="G30">
        <v>25</v>
      </c>
      <c r="H30">
        <v>20</v>
      </c>
      <c r="I30">
        <v>500</v>
      </c>
      <c r="J30">
        <v>85</v>
      </c>
      <c r="K30" t="s">
        <v>20</v>
      </c>
    </row>
    <row r="31" spans="1:11" x14ac:dyDescent="0.35">
      <c r="A31">
        <v>30</v>
      </c>
      <c r="B31" t="s">
        <v>96</v>
      </c>
      <c r="C31" t="s">
        <v>17</v>
      </c>
      <c r="D31" t="s">
        <v>97</v>
      </c>
      <c r="E31" t="s">
        <v>43</v>
      </c>
      <c r="F31">
        <v>2026</v>
      </c>
      <c r="G31">
        <v>5</v>
      </c>
      <c r="H31">
        <v>250</v>
      </c>
      <c r="I31">
        <v>1250</v>
      </c>
      <c r="J31">
        <v>220</v>
      </c>
      <c r="K31"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Sheet5</vt:lpstr>
      <vt:lpstr>Pivot Table</vt:lpstr>
      <vt:lpstr>Dashboard Budget</vt:lpstr>
      <vt:lpstr>Sheet1</vt:lpstr>
      <vt:lpstr>Sales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cp:lastModifiedBy>
  <dcterms:created xsi:type="dcterms:W3CDTF">2026-02-21T06:25:17Z</dcterms:created>
  <dcterms:modified xsi:type="dcterms:W3CDTF">2026-03-06T17:56:49Z</dcterms:modified>
</cp:coreProperties>
</file>